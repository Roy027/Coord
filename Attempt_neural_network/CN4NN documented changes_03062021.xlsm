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ka3\Desktop\EG3611\Internship #2\"/>
    </mc:Choice>
  </mc:AlternateContent>
  <xr:revisionPtr revIDLastSave="0" documentId="13_ncr:1_{CAF8EEE3-0EDE-42A1-840C-1F040452B4E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ercentages" sheetId="1" r:id="rId1"/>
    <sheet name="List of error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7" i="1" l="1"/>
  <c r="U7" i="1"/>
  <c r="T7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2" i="1"/>
</calcChain>
</file>

<file path=xl/sharedStrings.xml><?xml version="1.0" encoding="utf-8"?>
<sst xmlns="http://schemas.openxmlformats.org/spreadsheetml/2006/main" count="658" uniqueCount="90">
  <si>
    <t>Hidden layer sizes</t>
  </si>
  <si>
    <t>Max iter</t>
  </si>
  <si>
    <t>Solver</t>
  </si>
  <si>
    <t>Alpha</t>
  </si>
  <si>
    <t>RdmState</t>
  </si>
  <si>
    <t>Activation</t>
  </si>
  <si>
    <t>OtherSpecs</t>
  </si>
  <si>
    <t>5</t>
  </si>
  <si>
    <t>lbfgs</t>
  </si>
  <si>
    <t>relu</t>
  </si>
  <si>
    <t>SP Acc%</t>
  </si>
  <si>
    <t>T Acc%</t>
  </si>
  <si>
    <t>SPY Acc%</t>
  </si>
  <si>
    <t>SS Acc%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</si>
  <si>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</si>
  <si>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</si>
  <si>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</si>
  <si>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</si>
  <si>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</si>
  <si>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</si>
  <si>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</si>
  <si>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</si>
  <si>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</si>
  <si>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</si>
  <si>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</si>
  <si>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</si>
  <si>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</si>
  <si>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logistic</t>
  </si>
  <si>
    <t>4</t>
  </si>
  <si>
    <t>testset</t>
  </si>
  <si>
    <t>self</t>
  </si>
  <si>
    <t>w/o dotproduct</t>
  </si>
  <si>
    <t>Grade</t>
  </si>
  <si>
    <t>general test</t>
  </si>
  <si>
    <t>For self-test:</t>
  </si>
  <si>
    <t>(logistic)</t>
  </si>
  <si>
    <t>(relu)</t>
  </si>
  <si>
    <t>For general test:</t>
  </si>
  <si>
    <t>For self-test without dot product:</t>
  </si>
  <si>
    <t>For general test without dot product:</t>
  </si>
  <si>
    <t> '["[\'414454.cif\']" \'Sb3\']'</t>
  </si>
  <si>
    <t> '["[\'157654.cif\']" \'S10\']'</t>
  </si>
  <si>
    <t> '["[\'60000.cif\']" \'Sb3\']'</t>
  </si>
  <si>
    <t> '["[\'262455.cif\']" \'Na2\']'</t>
  </si>
  <si>
    <t>Yellow means different between dot-product/ non-dot-product counterpart</t>
  </si>
  <si>
    <t>Blue means different between relu/ logistic counterpart</t>
  </si>
  <si>
    <t>Green means both of the above</t>
  </si>
  <si>
    <t>['["[\'26536.cif\']" \'Te2\']'</t>
  </si>
  <si>
    <t> '["[\'157654.cif\']" \'S10\']']</t>
  </si>
  <si>
    <t> '["[\'414454.cif\']" \'Sb3\']']</t>
  </si>
  <si>
    <t> '["[\'242152.cif\']" \'Na2\']']</t>
  </si>
  <si>
    <t>['["[\'243558.cif\']" \'O1\']'</t>
  </si>
  <si>
    <t> '["[\'87649.cif\']" \'Na3\']'</t>
  </si>
  <si>
    <t> '["[\'260207.cif\']" \'O2\']'</t>
  </si>
  <si>
    <t> '["[\'407316.cif\']" \'O5\']'</t>
  </si>
  <si>
    <t> '["[\'267271.cif\']" \'Na2\']'</t>
  </si>
  <si>
    <t> '["[\'108837.cif\']" \'O4\']'</t>
  </si>
  <si>
    <t> '["[\'230850.cif\']" \'O13\']'</t>
  </si>
  <si>
    <t> '["[\'248066.cif\']" \'Pb3\']'</t>
  </si>
  <si>
    <t> '["[\'97306.cif\']" \'Na3\']'</t>
  </si>
  <si>
    <t> '["[\'248065.cif\']" \'Pb6\']'</t>
  </si>
  <si>
    <t> '["[\'280902.cif\']" \'O7\']'</t>
  </si>
  <si>
    <t> '["[\'248066.cif\']" \'Na8\']'</t>
  </si>
  <si>
    <t> '["[\'409876.cif\']" \'O9\']'</t>
  </si>
  <si>
    <t> '["[\'418299.cif\']" \'Na8\']'</t>
  </si>
  <si>
    <t> '["[\'180730.cif\']" \'O1\']'</t>
  </si>
  <si>
    <t> '["[\'253989.cif\']" \'O3\']'</t>
  </si>
  <si>
    <t> '["[\'237658.cif\']" \'Xe2\']'</t>
  </si>
  <si>
    <t> '["[\'415153.cif\']" \'Li1\']'</t>
  </si>
  <si>
    <t> '["[\'50573.cif\']" \'O8\']']</t>
  </si>
  <si>
    <t>['["[\'260207.cif\']" \'O2\']'</t>
  </si>
  <si>
    <t> '["[\'23311.cif\']" \'O5\']'</t>
  </si>
  <si>
    <t> '["[\'59369.cif\']" \'O14\']'</t>
  </si>
  <si>
    <t> '["[\'50573.cif\']" \'O8\']'</t>
  </si>
  <si>
    <t> '["[\'243558.cif\']" \'O1\']'</t>
  </si>
  <si>
    <t> '["[\'12134.cif\']" \'O6\']']</t>
  </si>
  <si>
    <t>['["[\'409876.cif\']" \'O9\']'</t>
  </si>
  <si>
    <t> '["[\'242157.cif\']" \'Na11\']'</t>
  </si>
  <si>
    <t> '["[\'412156.cif\']" \'S2\']'</t>
  </si>
  <si>
    <t> '["[\'159099.cif\']" \'O6\']'</t>
  </si>
  <si>
    <t> '["[\'253979.cif\']" \'O4\']']</t>
  </si>
  <si>
    <t>['["[\'415153.cif\']" \'Li1\']'</t>
  </si>
  <si>
    <t> '["[\'180730.cif\']" \'O1\']']</t>
  </si>
  <si>
    <t>Comparing to data w/o dot products</t>
  </si>
  <si>
    <t>Compare with data without dot product</t>
  </si>
  <si>
    <t>Average performance per structure</t>
  </si>
  <si>
    <t>AVERAGE</t>
  </si>
  <si>
    <t>with dot product</t>
  </si>
  <si>
    <t>without dot product</t>
  </si>
  <si>
    <t>(T Acc% is always 100%)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</si>
</sst>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81C96"/>
        <bgColor indexed="64"/>
      </patternFill>
    </fill>
    <fill>
      <patternFill patternType="solid">
        <fgColor rgb="FF3D1F96"/>
        <bgColor indexed="64"/>
      </patternFill>
    </fill>
    <fill>
      <patternFill patternType="solid">
        <fgColor rgb="FF472496"/>
        <bgColor indexed="64"/>
      </patternFill>
    </fill>
    <fill>
      <patternFill patternType="solid">
        <fgColor rgb="FF1F0F96"/>
        <bgColor indexed="64"/>
      </patternFill>
    </fill>
    <fill>
      <patternFill patternType="solid">
        <fgColor rgb="FF241296"/>
        <bgColor indexed="64"/>
      </patternFill>
    </fill>
    <fill>
      <patternFill patternType="solid">
        <fgColor rgb="FF613096"/>
        <bgColor indexed="64"/>
      </patternFill>
    </fill>
    <fill>
      <patternFill patternType="solid">
        <fgColor rgb="FF7A3D96"/>
        <bgColor indexed="64"/>
      </patternFill>
    </fill>
    <fill>
      <patternFill patternType="solid">
        <fgColor rgb="FF8A4596"/>
        <bgColor indexed="64"/>
      </patternFill>
    </fill>
    <fill>
      <patternFill patternType="solid">
        <fgColor rgb="FF8F4796"/>
        <bgColor indexed="64"/>
      </patternFill>
    </fill>
    <fill>
      <patternFill patternType="solid">
        <fgColor rgb="FFD66B96"/>
        <bgColor indexed="64"/>
      </patternFill>
    </fill>
    <fill>
      <patternFill patternType="solid">
        <fgColor rgb="FF522996"/>
        <bgColor indexed="64"/>
      </patternFill>
    </fill>
    <fill>
      <patternFill patternType="solid">
        <fgColor rgb="FFCC6696"/>
        <bgColor indexed="64"/>
      </patternFill>
    </fill>
    <fill>
      <patternFill patternType="solid">
        <fgColor rgb="FFA35296"/>
        <bgColor indexed="64"/>
      </patternFill>
    </fill>
    <fill>
      <patternFill patternType="solid">
        <fgColor rgb="FF1A0D96"/>
        <bgColor indexed="64"/>
      </patternFill>
    </fill>
    <fill>
      <patternFill patternType="solid">
        <fgColor rgb="FF703896"/>
        <bgColor indexed="64"/>
      </patternFill>
    </fill>
    <fill>
      <patternFill patternType="solid">
        <fgColor rgb="FF804096"/>
        <bgColor indexed="64"/>
      </patternFill>
    </fill>
    <fill>
      <patternFill patternType="solid">
        <fgColor rgb="FF572B96"/>
        <bgColor indexed="64"/>
      </patternFill>
    </fill>
    <fill>
      <patternFill patternType="solid">
        <fgColor rgb="FF6B3696"/>
        <bgColor indexed="64"/>
      </patternFill>
    </fill>
    <fill>
      <patternFill patternType="solid">
        <fgColor rgb="FFFFB296"/>
        <bgColor indexed="64"/>
      </patternFill>
    </fill>
    <fill>
      <patternFill patternType="solid">
        <fgColor rgb="FFBD5E96"/>
        <bgColor indexed="64"/>
      </patternFill>
    </fill>
    <fill>
      <patternFill patternType="solid">
        <fgColor rgb="FFAD5796"/>
        <bgColor indexed="64"/>
      </patternFill>
    </fill>
    <fill>
      <patternFill patternType="solid">
        <fgColor rgb="FFFF8096"/>
        <bgColor indexed="64"/>
      </patternFill>
    </fill>
    <fill>
      <patternFill patternType="solid">
        <fgColor rgb="FF4C2696"/>
        <bgColor indexed="64"/>
      </patternFill>
    </fill>
    <fill>
      <patternFill patternType="solid">
        <fgColor rgb="FF2E1796"/>
        <bgColor indexed="64"/>
      </patternFill>
    </fill>
    <fill>
      <patternFill patternType="solid">
        <fgColor rgb="FF140A96"/>
        <bgColor indexed="64"/>
      </patternFill>
    </fill>
    <fill>
      <patternFill patternType="solid">
        <fgColor rgb="FF5C2E96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rgb="FFC26196"/>
        <bgColor indexed="64"/>
      </patternFill>
    </fill>
    <fill>
      <patternFill patternType="solid">
        <fgColor rgb="FF944A96"/>
        <bgColor indexed="64"/>
      </patternFill>
    </fill>
    <fill>
      <patternFill patternType="solid">
        <fgColor rgb="FFA85496"/>
        <bgColor indexed="64"/>
      </patternFill>
    </fill>
    <fill>
      <patternFill patternType="solid">
        <fgColor rgb="FFC76396"/>
        <bgColor indexed="64"/>
      </patternFill>
    </fill>
    <fill>
      <patternFill patternType="solid">
        <fgColor rgb="FF994C96"/>
        <bgColor indexed="64"/>
      </patternFill>
    </fill>
    <fill>
      <patternFill patternType="solid">
        <fgColor rgb="FF753B96"/>
        <bgColor indexed="64"/>
      </patternFill>
    </fill>
    <fill>
      <patternFill patternType="solid">
        <fgColor rgb="FF663396"/>
        <bgColor indexed="64"/>
      </patternFill>
    </fill>
    <fill>
      <patternFill patternType="solid">
        <fgColor rgb="FF854296"/>
        <bgColor indexed="64"/>
      </patternFill>
    </fill>
  </fills>
  <borders count="13">
    <border>
      <left/>
      <right/>
      <top/>
      <bottom/>
      <diagonal/>
    </border>
    <border>
      <left style="thin">
        <color rgb="FFD4D4D4"/>
      </left>
      <right style="thin">
        <color rgb="FFD4D4D4"/>
      </right>
      <top style="thin">
        <color rgb="FFD4D4D4"/>
      </top>
      <bottom style="thin">
        <color rgb="FFD4D4D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0" borderId="1" xfId="0" applyFill="1" applyBorder="1"/>
    <xf numFmtId="0" fontId="3" fillId="0" borderId="1" xfId="0" applyFont="1" applyFill="1" applyBorder="1"/>
    <xf numFmtId="0" fontId="0" fillId="0" borderId="0" xfId="0" quotePrefix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6" borderId="1" xfId="0" applyFont="1" applyFill="1" applyBorder="1"/>
    <xf numFmtId="0" fontId="3" fillId="7" borderId="1" xfId="0" applyFont="1" applyFill="1" applyBorder="1"/>
    <xf numFmtId="0" fontId="3" fillId="8" borderId="1" xfId="0" applyFont="1" applyFill="1" applyBorder="1"/>
    <xf numFmtId="0" fontId="3" fillId="9" borderId="1" xfId="0" applyFont="1" applyFill="1" applyBorder="1"/>
    <xf numFmtId="0" fontId="3" fillId="10" borderId="1" xfId="0" applyFont="1" applyFill="1" applyBorder="1"/>
    <xf numFmtId="0" fontId="3" fillId="11" borderId="1" xfId="0" applyFont="1" applyFill="1" applyBorder="1"/>
    <xf numFmtId="0" fontId="3" fillId="12" borderId="1" xfId="0" applyFont="1" applyFill="1" applyBorder="1"/>
    <xf numFmtId="0" fontId="3" fillId="13" borderId="1" xfId="0" applyFont="1" applyFill="1" applyBorder="1"/>
    <xf numFmtId="0" fontId="3" fillId="14" borderId="1" xfId="0" applyFont="1" applyFill="1" applyBorder="1"/>
    <xf numFmtId="0" fontId="3" fillId="15" borderId="1" xfId="0" applyFont="1" applyFill="1" applyBorder="1"/>
    <xf numFmtId="0" fontId="3" fillId="16" borderId="1" xfId="0" applyFont="1" applyFill="1" applyBorder="1"/>
    <xf numFmtId="0" fontId="3" fillId="17" borderId="1" xfId="0" applyFont="1" applyFill="1" applyBorder="1"/>
    <xf numFmtId="0" fontId="3" fillId="18" borderId="1" xfId="0" applyFont="1" applyFill="1" applyBorder="1"/>
    <xf numFmtId="0" fontId="3" fillId="19" borderId="1" xfId="0" applyFont="1" applyFill="1" applyBorder="1"/>
    <xf numFmtId="0" fontId="3" fillId="20" borderId="1" xfId="0" applyFont="1" applyFill="1" applyBorder="1"/>
    <xf numFmtId="0" fontId="3" fillId="21" borderId="1" xfId="0" applyFont="1" applyFill="1" applyBorder="1"/>
    <xf numFmtId="0" fontId="3" fillId="22" borderId="1" xfId="0" applyFont="1" applyFill="1" applyBorder="1"/>
    <xf numFmtId="0" fontId="3" fillId="23" borderId="1" xfId="0" applyFont="1" applyFill="1" applyBorder="1"/>
    <xf numFmtId="0" fontId="3" fillId="24" borderId="1" xfId="0" applyFont="1" applyFill="1" applyBorder="1"/>
    <xf numFmtId="0" fontId="3" fillId="25" borderId="1" xfId="0" applyFont="1" applyFill="1" applyBorder="1"/>
    <xf numFmtId="0" fontId="3" fillId="26" borderId="1" xfId="0" applyFont="1" applyFill="1" applyBorder="1"/>
    <xf numFmtId="0" fontId="3" fillId="27" borderId="1" xfId="0" applyFont="1" applyFill="1" applyBorder="1"/>
    <xf numFmtId="0" fontId="3" fillId="28" borderId="1" xfId="0" applyFont="1" applyFill="1" applyBorder="1"/>
    <xf numFmtId="0" fontId="3" fillId="29" borderId="1" xfId="0" applyFont="1" applyFill="1" applyBorder="1"/>
    <xf numFmtId="0" fontId="3" fillId="30" borderId="1" xfId="0" applyFont="1" applyFill="1" applyBorder="1"/>
    <xf numFmtId="0" fontId="3" fillId="31" borderId="1" xfId="0" applyFont="1" applyFill="1" applyBorder="1"/>
    <xf numFmtId="0" fontId="3" fillId="32" borderId="1" xfId="0" applyFont="1" applyFill="1" applyBorder="1"/>
    <xf numFmtId="0" fontId="3" fillId="33" borderId="1" xfId="0" applyFont="1" applyFill="1" applyBorder="1"/>
    <xf numFmtId="0" fontId="3" fillId="34" borderId="1" xfId="0" applyFont="1" applyFill="1" applyBorder="1"/>
    <xf numFmtId="0" fontId="3" fillId="35" borderId="1" xfId="0" applyFont="1" applyFill="1" applyBorder="1"/>
    <xf numFmtId="0" fontId="3" fillId="36" borderId="1" xfId="0" applyFont="1" applyFill="1" applyBorder="1"/>
    <xf numFmtId="0" fontId="3" fillId="37" borderId="1" xfId="0" applyFont="1" applyFill="1" applyBorder="1"/>
    <xf numFmtId="0" fontId="3" fillId="38" borderId="1" xfId="0" applyFont="1" applyFill="1" applyBorder="1"/>
    <xf numFmtId="0" fontId="3" fillId="39" borderId="1" xfId="0" applyFont="1" applyFill="1" applyBorder="1"/>
    <xf numFmtId="0" fontId="3" fillId="40" borderId="1" xfId="0" applyFont="1" applyFill="1" applyBorder="1"/>
    <xf numFmtId="0" fontId="3" fillId="41" borderId="1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1"/>
  <sheetViews>
    <sheetView tabSelected="1" topLeftCell="B1" zoomScaleNormal="100" workbookViewId="0">
      <pane ySplit="1" topLeftCell="A2" activePane="bottomLeft" state="frozen"/>
      <selection pane="bottomLeft" activeCell="R12" sqref="R12"/>
    </sheetView>
  </sheetViews>
  <sheetFormatPr defaultRowHeight="14.4" x14ac:dyDescent="0.3"/>
  <cols>
    <col min="1" max="1" width="13.33203125" style="2" customWidth="1"/>
    <col min="2" max="2" width="16.5546875" style="2" customWidth="1"/>
    <col min="3" max="3" width="7.77734375" style="2" bestFit="1" customWidth="1"/>
    <col min="4" max="4" width="6" style="2" bestFit="1" customWidth="1"/>
    <col min="5" max="5" width="5.5546875" style="2" bestFit="1" customWidth="1"/>
    <col min="6" max="6" width="8.88671875" style="2"/>
    <col min="7" max="7" width="9.21875" style="2" bestFit="1" customWidth="1"/>
    <col min="8" max="8" width="14" style="2" bestFit="1" customWidth="1"/>
    <col min="9" max="9" width="6.77734375" style="2" bestFit="1" customWidth="1"/>
    <col min="10" max="10" width="7.6640625" style="2" bestFit="1" customWidth="1"/>
    <col min="11" max="11" width="8.6640625" style="2" bestFit="1" customWidth="1"/>
    <col min="12" max="12" width="7.5546875" style="2" bestFit="1" customWidth="1"/>
    <col min="13" max="13" width="7.5546875" customWidth="1"/>
    <col min="14" max="14" width="11.6640625" customWidth="1"/>
    <col min="18" max="18" width="17.109375" customWidth="1"/>
  </cols>
  <sheetData>
    <row r="1" spans="1:22" s="6" customFormat="1" x14ac:dyDescent="0.3">
      <c r="A1" s="1" t="s">
        <v>29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11</v>
      </c>
      <c r="J1" s="1" t="s">
        <v>10</v>
      </c>
      <c r="K1" s="1" t="s">
        <v>12</v>
      </c>
      <c r="L1" s="1" t="s">
        <v>13</v>
      </c>
      <c r="M1" s="1"/>
      <c r="N1" s="1" t="s">
        <v>32</v>
      </c>
      <c r="O1" s="1" t="s">
        <v>84</v>
      </c>
      <c r="P1" s="1"/>
      <c r="Q1" s="1"/>
      <c r="R1" s="1"/>
      <c r="S1" s="1"/>
      <c r="T1" s="1" t="s">
        <v>85</v>
      </c>
      <c r="U1" s="1"/>
      <c r="V1" s="1"/>
    </row>
    <row r="2" spans="1:22" s="2" customFormat="1" x14ac:dyDescent="0.3">
      <c r="A2" s="2" t="s">
        <v>30</v>
      </c>
      <c r="B2" s="5" t="s">
        <v>28</v>
      </c>
      <c r="C2" s="2">
        <v>10000</v>
      </c>
      <c r="D2" s="2" t="s">
        <v>8</v>
      </c>
      <c r="E2" s="2">
        <v>0.01</v>
      </c>
      <c r="F2" s="2">
        <v>1</v>
      </c>
      <c r="G2" s="2" t="s">
        <v>27</v>
      </c>
      <c r="I2">
        <v>100</v>
      </c>
      <c r="J2">
        <v>100</v>
      </c>
      <c r="K2">
        <v>97.560980000000001</v>
      </c>
      <c r="L2">
        <v>97.883600000000001</v>
      </c>
      <c r="N2" s="11">
        <f>ROUND(AVERAGE(I2:L2),1)</f>
        <v>98.9</v>
      </c>
      <c r="O2" s="33">
        <v>98.5</v>
      </c>
    </row>
    <row r="3" spans="1:22" s="2" customFormat="1" x14ac:dyDescent="0.3">
      <c r="A3" s="2" t="s">
        <v>30</v>
      </c>
      <c r="B3" s="5" t="s">
        <v>7</v>
      </c>
      <c r="C3" s="2">
        <v>10000</v>
      </c>
      <c r="D3" s="2" t="s">
        <v>8</v>
      </c>
      <c r="E3" s="2">
        <v>0.01</v>
      </c>
      <c r="F3" s="2">
        <v>1</v>
      </c>
      <c r="G3" s="2" t="s">
        <v>27</v>
      </c>
      <c r="I3">
        <v>100</v>
      </c>
      <c r="J3">
        <v>100</v>
      </c>
      <c r="K3">
        <v>95.121949999999998</v>
      </c>
      <c r="L3">
        <v>100</v>
      </c>
      <c r="N3" s="12">
        <f t="shared" ref="N3:N66" si="0">ROUND(AVERAGE(I3:L3),1)</f>
        <v>98.8</v>
      </c>
      <c r="O3" s="13">
        <v>98.6</v>
      </c>
    </row>
    <row r="4" spans="1:22" ht="15" thickBot="1" x14ac:dyDescent="0.35">
      <c r="A4" s="2" t="s">
        <v>30</v>
      </c>
      <c r="B4" s="5" t="s">
        <v>14</v>
      </c>
      <c r="C4" s="2">
        <v>10000</v>
      </c>
      <c r="D4" s="2" t="s">
        <v>8</v>
      </c>
      <c r="E4" s="2">
        <v>0.01</v>
      </c>
      <c r="F4" s="2">
        <v>1</v>
      </c>
      <c r="G4" s="2" t="s">
        <v>27</v>
      </c>
      <c r="I4">
        <v>100</v>
      </c>
      <c r="J4">
        <v>100</v>
      </c>
      <c r="K4">
        <v>95.121949999999998</v>
      </c>
      <c r="L4">
        <v>99.4709</v>
      </c>
      <c r="N4" s="13">
        <f t="shared" si="0"/>
        <v>98.6</v>
      </c>
      <c r="O4" s="33">
        <v>98.5</v>
      </c>
    </row>
    <row r="5" spans="1:22" ht="15" thickBot="1" x14ac:dyDescent="0.35">
      <c r="A5" s="2" t="s">
        <v>30</v>
      </c>
      <c r="B5" s="5" t="s">
        <v>15</v>
      </c>
      <c r="C5" s="2">
        <v>10000</v>
      </c>
      <c r="D5" s="2" t="s">
        <v>8</v>
      </c>
      <c r="E5" s="2">
        <v>0.01</v>
      </c>
      <c r="F5" s="2">
        <v>1</v>
      </c>
      <c r="G5" s="2" t="s">
        <v>27</v>
      </c>
      <c r="I5">
        <v>100</v>
      </c>
      <c r="J5">
        <v>100</v>
      </c>
      <c r="K5">
        <v>7.3170700000000002</v>
      </c>
      <c r="L5">
        <v>100</v>
      </c>
      <c r="N5" s="10">
        <f t="shared" si="0"/>
        <v>76.8</v>
      </c>
      <c r="O5" s="33">
        <v>98.5</v>
      </c>
      <c r="R5" s="46"/>
      <c r="S5" s="47"/>
      <c r="T5" s="56" t="s">
        <v>86</v>
      </c>
      <c r="U5" s="56"/>
      <c r="V5" s="57"/>
    </row>
    <row r="6" spans="1:22" ht="15" thickBot="1" x14ac:dyDescent="0.35">
      <c r="A6" s="2" t="s">
        <v>30</v>
      </c>
      <c r="B6" s="5" t="s">
        <v>16</v>
      </c>
      <c r="C6" s="2">
        <v>10000</v>
      </c>
      <c r="D6" s="2" t="s">
        <v>8</v>
      </c>
      <c r="E6" s="2">
        <v>0.01</v>
      </c>
      <c r="F6" s="2">
        <v>1</v>
      </c>
      <c r="G6" s="2" t="s">
        <v>27</v>
      </c>
      <c r="I6">
        <v>100</v>
      </c>
      <c r="J6">
        <v>100</v>
      </c>
      <c r="K6">
        <v>95.121949999999998</v>
      </c>
      <c r="L6">
        <v>99.4709</v>
      </c>
      <c r="N6" s="13">
        <f t="shared" si="0"/>
        <v>98.6</v>
      </c>
      <c r="O6" s="33">
        <v>98.5</v>
      </c>
      <c r="R6" s="48"/>
      <c r="S6" s="49"/>
      <c r="T6" s="55" t="s">
        <v>10</v>
      </c>
      <c r="U6" s="55" t="s">
        <v>12</v>
      </c>
      <c r="V6" s="55" t="s">
        <v>13</v>
      </c>
    </row>
    <row r="7" spans="1:22" ht="15" thickBot="1" x14ac:dyDescent="0.35">
      <c r="A7" s="2" t="s">
        <v>30</v>
      </c>
      <c r="B7" s="5" t="s">
        <v>17</v>
      </c>
      <c r="C7" s="2">
        <v>10000</v>
      </c>
      <c r="D7" s="2" t="s">
        <v>8</v>
      </c>
      <c r="E7" s="2">
        <v>0.01</v>
      </c>
      <c r="F7" s="2">
        <v>1</v>
      </c>
      <c r="G7" s="2" t="s">
        <v>27</v>
      </c>
      <c r="I7">
        <v>100</v>
      </c>
      <c r="J7">
        <v>100</v>
      </c>
      <c r="K7">
        <v>97.560980000000001</v>
      </c>
      <c r="L7">
        <v>100</v>
      </c>
      <c r="N7" s="14">
        <f t="shared" si="0"/>
        <v>99.4</v>
      </c>
      <c r="O7" s="13">
        <v>98.6</v>
      </c>
      <c r="R7" s="53" t="s">
        <v>87</v>
      </c>
      <c r="S7" s="55" t="s">
        <v>27</v>
      </c>
      <c r="T7" s="49">
        <f>AVERAGE(J32:J46)</f>
        <v>99.602649999999997</v>
      </c>
      <c r="U7" s="49">
        <f>AVERAGE(K32:K46)</f>
        <v>87.479675333333304</v>
      </c>
      <c r="V7" s="50">
        <f>AVERAGE(L32:L46)</f>
        <v>98.297874666666658</v>
      </c>
    </row>
    <row r="8" spans="1:22" ht="15" thickBot="1" x14ac:dyDescent="0.35">
      <c r="A8" s="2" t="s">
        <v>30</v>
      </c>
      <c r="B8" s="5" t="s">
        <v>18</v>
      </c>
      <c r="C8" s="2">
        <v>10000</v>
      </c>
      <c r="D8" s="2" t="s">
        <v>8</v>
      </c>
      <c r="E8" s="2">
        <v>0.01</v>
      </c>
      <c r="F8" s="2">
        <v>1</v>
      </c>
      <c r="G8" s="2" t="s">
        <v>27</v>
      </c>
      <c r="I8">
        <v>100</v>
      </c>
      <c r="J8">
        <v>100</v>
      </c>
      <c r="K8">
        <v>97.560980000000001</v>
      </c>
      <c r="L8">
        <v>100</v>
      </c>
      <c r="N8" s="14">
        <f t="shared" si="0"/>
        <v>99.4</v>
      </c>
      <c r="O8" s="13">
        <v>98.6</v>
      </c>
      <c r="R8" s="54"/>
      <c r="S8" s="55" t="s">
        <v>9</v>
      </c>
      <c r="T8" s="49">
        <v>86.622516666666655</v>
      </c>
      <c r="U8" s="49">
        <v>79.512195333333324</v>
      </c>
      <c r="V8" s="50">
        <v>98.120569999999987</v>
      </c>
    </row>
    <row r="9" spans="1:22" ht="15" thickBot="1" x14ac:dyDescent="0.35">
      <c r="A9" s="2" t="s">
        <v>30</v>
      </c>
      <c r="B9" s="5" t="s">
        <v>19</v>
      </c>
      <c r="C9" s="2">
        <v>10000</v>
      </c>
      <c r="D9" s="2" t="s">
        <v>8</v>
      </c>
      <c r="E9" s="2">
        <v>0.01</v>
      </c>
      <c r="F9" s="2">
        <v>1</v>
      </c>
      <c r="G9" s="2" t="s">
        <v>27</v>
      </c>
      <c r="I9">
        <v>100</v>
      </c>
      <c r="J9">
        <v>100</v>
      </c>
      <c r="K9">
        <v>95.121949999999998</v>
      </c>
      <c r="L9">
        <v>99.4709</v>
      </c>
      <c r="N9" s="13">
        <f t="shared" si="0"/>
        <v>98.6</v>
      </c>
      <c r="O9" s="33">
        <v>98.5</v>
      </c>
      <c r="R9" s="53" t="s">
        <v>88</v>
      </c>
      <c r="S9" s="55" t="s">
        <v>27</v>
      </c>
      <c r="T9" s="49">
        <v>98.896250000000009</v>
      </c>
      <c r="U9" s="49">
        <v>93.170731999999987</v>
      </c>
      <c r="V9" s="50">
        <v>97.553192666666675</v>
      </c>
    </row>
    <row r="10" spans="1:22" ht="15" thickBot="1" x14ac:dyDescent="0.35">
      <c r="A10" s="2" t="s">
        <v>30</v>
      </c>
      <c r="B10" s="5" t="s">
        <v>20</v>
      </c>
      <c r="C10" s="2">
        <v>10000</v>
      </c>
      <c r="D10" s="2" t="s">
        <v>8</v>
      </c>
      <c r="E10" s="2">
        <v>0.01</v>
      </c>
      <c r="F10" s="2">
        <v>1</v>
      </c>
      <c r="G10" s="2" t="s">
        <v>27</v>
      </c>
      <c r="I10">
        <v>100</v>
      </c>
      <c r="J10">
        <v>100</v>
      </c>
      <c r="K10">
        <v>97.560980000000001</v>
      </c>
      <c r="L10">
        <v>100</v>
      </c>
      <c r="N10" s="14">
        <f t="shared" si="0"/>
        <v>99.4</v>
      </c>
      <c r="O10" s="36">
        <v>98.2</v>
      </c>
      <c r="R10" s="54"/>
      <c r="S10" s="55" t="s">
        <v>9</v>
      </c>
      <c r="T10" s="51">
        <v>92.671083333333357</v>
      </c>
      <c r="U10" s="51">
        <v>80.975611333333305</v>
      </c>
      <c r="V10" s="52">
        <v>98.617023333333307</v>
      </c>
    </row>
    <row r="11" spans="1:22" x14ac:dyDescent="0.3">
      <c r="A11" s="2" t="s">
        <v>30</v>
      </c>
      <c r="B11" s="5" t="s">
        <v>21</v>
      </c>
      <c r="C11" s="2">
        <v>10000</v>
      </c>
      <c r="D11" s="2" t="s">
        <v>8</v>
      </c>
      <c r="E11" s="2">
        <v>0.01</v>
      </c>
      <c r="F11" s="2">
        <v>1</v>
      </c>
      <c r="G11" s="2" t="s">
        <v>27</v>
      </c>
      <c r="I11">
        <v>100</v>
      </c>
      <c r="J11">
        <v>100</v>
      </c>
      <c r="K11">
        <v>95.121949999999998</v>
      </c>
      <c r="L11">
        <v>100</v>
      </c>
      <c r="N11" s="12">
        <f t="shared" si="0"/>
        <v>98.8</v>
      </c>
      <c r="O11" s="13">
        <v>98.6</v>
      </c>
      <c r="R11" t="s">
        <v>89</v>
      </c>
    </row>
    <row r="12" spans="1:22" x14ac:dyDescent="0.3">
      <c r="A12" s="2" t="s">
        <v>30</v>
      </c>
      <c r="B12" s="5" t="s">
        <v>22</v>
      </c>
      <c r="C12" s="2">
        <v>10000</v>
      </c>
      <c r="D12" s="2" t="s">
        <v>8</v>
      </c>
      <c r="E12" s="2">
        <v>0.01</v>
      </c>
      <c r="F12" s="2">
        <v>1</v>
      </c>
      <c r="G12" s="2" t="s">
        <v>27</v>
      </c>
      <c r="I12">
        <v>100</v>
      </c>
      <c r="J12">
        <v>100</v>
      </c>
      <c r="K12">
        <v>97.560980000000001</v>
      </c>
      <c r="L12">
        <v>99.4709</v>
      </c>
      <c r="N12" s="15">
        <f t="shared" si="0"/>
        <v>99.3</v>
      </c>
      <c r="O12" s="13">
        <v>98.6</v>
      </c>
    </row>
    <row r="13" spans="1:22" x14ac:dyDescent="0.3">
      <c r="A13" s="2" t="s">
        <v>30</v>
      </c>
      <c r="B13" s="5" t="s">
        <v>23</v>
      </c>
      <c r="C13" s="2">
        <v>10000</v>
      </c>
      <c r="D13" s="2" t="s">
        <v>8</v>
      </c>
      <c r="E13" s="2">
        <v>0.01</v>
      </c>
      <c r="F13" s="2">
        <v>1</v>
      </c>
      <c r="G13" s="2" t="s">
        <v>27</v>
      </c>
      <c r="I13">
        <v>100</v>
      </c>
      <c r="J13">
        <v>100</v>
      </c>
      <c r="K13">
        <v>97.560980000000001</v>
      </c>
      <c r="L13">
        <v>100</v>
      </c>
      <c r="N13" s="14">
        <f t="shared" si="0"/>
        <v>99.4</v>
      </c>
      <c r="O13" s="13">
        <v>98.6</v>
      </c>
    </row>
    <row r="14" spans="1:22" x14ac:dyDescent="0.3">
      <c r="A14" s="2" t="s">
        <v>30</v>
      </c>
      <c r="B14" s="5" t="s">
        <v>24</v>
      </c>
      <c r="C14" s="2">
        <v>10000</v>
      </c>
      <c r="D14" s="2" t="s">
        <v>8</v>
      </c>
      <c r="E14" s="2">
        <v>0.01</v>
      </c>
      <c r="F14" s="2">
        <v>1</v>
      </c>
      <c r="G14" s="2" t="s">
        <v>27</v>
      </c>
      <c r="I14">
        <v>100</v>
      </c>
      <c r="J14">
        <v>100</v>
      </c>
      <c r="K14">
        <v>95.121949999999998</v>
      </c>
      <c r="L14">
        <v>100</v>
      </c>
      <c r="N14" s="12">
        <f t="shared" si="0"/>
        <v>98.8</v>
      </c>
      <c r="O14" s="12">
        <v>98.8</v>
      </c>
    </row>
    <row r="15" spans="1:22" x14ac:dyDescent="0.3">
      <c r="A15" s="2" t="s">
        <v>30</v>
      </c>
      <c r="B15" s="5" t="s">
        <v>25</v>
      </c>
      <c r="C15" s="2">
        <v>10000</v>
      </c>
      <c r="D15" s="2" t="s">
        <v>8</v>
      </c>
      <c r="E15" s="2">
        <v>0.01</v>
      </c>
      <c r="F15" s="2">
        <v>1</v>
      </c>
      <c r="G15" s="2" t="s">
        <v>27</v>
      </c>
      <c r="I15">
        <v>100</v>
      </c>
      <c r="J15">
        <v>100</v>
      </c>
      <c r="K15">
        <v>95.121949999999998</v>
      </c>
      <c r="L15">
        <v>99.4709</v>
      </c>
      <c r="N15" s="13">
        <f t="shared" si="0"/>
        <v>98.6</v>
      </c>
      <c r="O15" s="33">
        <v>98.5</v>
      </c>
    </row>
    <row r="16" spans="1:22" x14ac:dyDescent="0.3">
      <c r="A16" s="2" t="s">
        <v>30</v>
      </c>
      <c r="B16" s="5" t="s">
        <v>26</v>
      </c>
      <c r="C16" s="2">
        <v>10000</v>
      </c>
      <c r="D16" s="2" t="s">
        <v>8</v>
      </c>
      <c r="E16" s="2">
        <v>0.01</v>
      </c>
      <c r="F16" s="2">
        <v>1</v>
      </c>
      <c r="G16" s="2" t="s">
        <v>27</v>
      </c>
      <c r="I16">
        <v>100</v>
      </c>
      <c r="J16">
        <v>100</v>
      </c>
      <c r="K16">
        <v>97.560980000000001</v>
      </c>
      <c r="L16">
        <v>100</v>
      </c>
      <c r="N16" s="14">
        <f t="shared" si="0"/>
        <v>99.4</v>
      </c>
      <c r="O16" s="13">
        <v>98.6</v>
      </c>
    </row>
    <row r="17" spans="1:16" x14ac:dyDescent="0.3">
      <c r="A17" s="2" t="s">
        <v>30</v>
      </c>
      <c r="B17" s="5" t="s">
        <v>28</v>
      </c>
      <c r="C17" s="2">
        <v>10000</v>
      </c>
      <c r="D17" s="2" t="s">
        <v>8</v>
      </c>
      <c r="E17" s="2">
        <v>0.01</v>
      </c>
      <c r="F17" s="2">
        <v>1</v>
      </c>
      <c r="G17" s="2" t="s">
        <v>9</v>
      </c>
      <c r="I17">
        <v>100</v>
      </c>
      <c r="J17">
        <v>0</v>
      </c>
      <c r="K17">
        <v>0</v>
      </c>
      <c r="L17">
        <v>100</v>
      </c>
      <c r="N17" s="10">
        <f t="shared" si="0"/>
        <v>50</v>
      </c>
      <c r="O17" s="10">
        <v>78</v>
      </c>
    </row>
    <row r="18" spans="1:16" x14ac:dyDescent="0.3">
      <c r="A18" s="2" t="s">
        <v>30</v>
      </c>
      <c r="B18" s="5" t="s">
        <v>7</v>
      </c>
      <c r="C18" s="2">
        <v>10000</v>
      </c>
      <c r="D18" s="2" t="s">
        <v>8</v>
      </c>
      <c r="E18" s="2">
        <v>0.01</v>
      </c>
      <c r="F18" s="2">
        <v>1</v>
      </c>
      <c r="G18" s="2" t="s">
        <v>9</v>
      </c>
      <c r="I18">
        <v>100</v>
      </c>
      <c r="J18">
        <v>99.342110000000005</v>
      </c>
      <c r="K18">
        <v>95.121949999999998</v>
      </c>
      <c r="L18">
        <v>97.883600000000001</v>
      </c>
      <c r="N18" s="16">
        <f t="shared" si="0"/>
        <v>98.1</v>
      </c>
      <c r="O18" s="10">
        <v>50</v>
      </c>
    </row>
    <row r="19" spans="1:16" x14ac:dyDescent="0.3">
      <c r="A19" s="2" t="s">
        <v>30</v>
      </c>
      <c r="B19" s="5" t="s">
        <v>14</v>
      </c>
      <c r="C19" s="2">
        <v>10000</v>
      </c>
      <c r="D19" s="2" t="s">
        <v>8</v>
      </c>
      <c r="E19" s="2">
        <v>0.01</v>
      </c>
      <c r="F19" s="2">
        <v>1</v>
      </c>
      <c r="G19" s="2" t="s">
        <v>9</v>
      </c>
      <c r="I19">
        <v>100</v>
      </c>
      <c r="J19">
        <v>0</v>
      </c>
      <c r="K19">
        <v>0</v>
      </c>
      <c r="L19">
        <v>100</v>
      </c>
      <c r="N19" s="10">
        <f t="shared" si="0"/>
        <v>50</v>
      </c>
      <c r="O19" s="13">
        <v>98.6</v>
      </c>
    </row>
    <row r="20" spans="1:16" x14ac:dyDescent="0.3">
      <c r="A20" s="2" t="s">
        <v>30</v>
      </c>
      <c r="B20" s="5" t="s">
        <v>15</v>
      </c>
      <c r="C20" s="2">
        <v>10000</v>
      </c>
      <c r="D20" s="2" t="s">
        <v>8</v>
      </c>
      <c r="E20" s="2">
        <v>0.01</v>
      </c>
      <c r="F20" s="2">
        <v>1</v>
      </c>
      <c r="G20" s="2" t="s">
        <v>9</v>
      </c>
      <c r="I20">
        <v>100</v>
      </c>
      <c r="J20">
        <v>100</v>
      </c>
      <c r="K20">
        <v>95.121949999999998</v>
      </c>
      <c r="L20">
        <v>100</v>
      </c>
      <c r="N20" s="12">
        <f t="shared" si="0"/>
        <v>98.8</v>
      </c>
      <c r="O20" s="12">
        <v>98.8</v>
      </c>
    </row>
    <row r="21" spans="1:16" x14ac:dyDescent="0.3">
      <c r="A21" s="2" t="s">
        <v>30</v>
      </c>
      <c r="B21" s="5" t="s">
        <v>16</v>
      </c>
      <c r="C21" s="2">
        <v>10000</v>
      </c>
      <c r="D21" s="2" t="s">
        <v>8</v>
      </c>
      <c r="E21" s="2">
        <v>0.01</v>
      </c>
      <c r="F21" s="2">
        <v>1</v>
      </c>
      <c r="G21" s="2" t="s">
        <v>9</v>
      </c>
      <c r="I21">
        <v>100</v>
      </c>
      <c r="J21">
        <v>100</v>
      </c>
      <c r="K21">
        <v>95.121949999999998</v>
      </c>
      <c r="L21">
        <v>100</v>
      </c>
      <c r="N21" s="12">
        <f t="shared" si="0"/>
        <v>98.8</v>
      </c>
      <c r="O21" s="21">
        <v>98.4</v>
      </c>
    </row>
    <row r="22" spans="1:16" x14ac:dyDescent="0.3">
      <c r="A22" s="2" t="s">
        <v>30</v>
      </c>
      <c r="B22" s="5" t="s">
        <v>17</v>
      </c>
      <c r="C22" s="2">
        <v>10000</v>
      </c>
      <c r="D22" s="2" t="s">
        <v>8</v>
      </c>
      <c r="E22" s="2">
        <v>0.01</v>
      </c>
      <c r="F22" s="2">
        <v>1</v>
      </c>
      <c r="G22" s="2" t="s">
        <v>9</v>
      </c>
      <c r="I22">
        <v>100</v>
      </c>
      <c r="J22">
        <v>100</v>
      </c>
      <c r="K22">
        <v>97.560980000000001</v>
      </c>
      <c r="L22">
        <v>100</v>
      </c>
      <c r="N22" s="14">
        <f t="shared" si="0"/>
        <v>99.4</v>
      </c>
      <c r="O22" s="12">
        <v>98.8</v>
      </c>
    </row>
    <row r="23" spans="1:16" x14ac:dyDescent="0.3">
      <c r="A23" s="2" t="s">
        <v>30</v>
      </c>
      <c r="B23" s="5" t="s">
        <v>18</v>
      </c>
      <c r="C23" s="2">
        <v>10000</v>
      </c>
      <c r="D23" s="2" t="s">
        <v>8</v>
      </c>
      <c r="E23" s="2">
        <v>0.01</v>
      </c>
      <c r="F23" s="2">
        <v>1</v>
      </c>
      <c r="G23" s="2" t="s">
        <v>9</v>
      </c>
      <c r="I23">
        <v>100</v>
      </c>
      <c r="J23">
        <v>100</v>
      </c>
      <c r="K23">
        <v>95.121949999999998</v>
      </c>
      <c r="L23">
        <v>100</v>
      </c>
      <c r="N23" s="12">
        <f t="shared" si="0"/>
        <v>98.8</v>
      </c>
      <c r="O23" s="37">
        <v>100</v>
      </c>
    </row>
    <row r="24" spans="1:16" x14ac:dyDescent="0.3">
      <c r="A24" s="2" t="s">
        <v>30</v>
      </c>
      <c r="B24" s="5" t="s">
        <v>19</v>
      </c>
      <c r="C24" s="2">
        <v>10000</v>
      </c>
      <c r="D24" s="2" t="s">
        <v>8</v>
      </c>
      <c r="E24" s="2">
        <v>0.01</v>
      </c>
      <c r="F24" s="2">
        <v>1</v>
      </c>
      <c r="G24" s="2" t="s">
        <v>9</v>
      </c>
      <c r="I24">
        <v>100</v>
      </c>
      <c r="J24">
        <v>100</v>
      </c>
      <c r="K24">
        <v>95.121949999999998</v>
      </c>
      <c r="L24">
        <v>100</v>
      </c>
      <c r="N24" s="12">
        <f t="shared" si="0"/>
        <v>98.8</v>
      </c>
      <c r="O24" s="12">
        <v>98.8</v>
      </c>
    </row>
    <row r="25" spans="1:16" x14ac:dyDescent="0.3">
      <c r="A25" s="2" t="s">
        <v>30</v>
      </c>
      <c r="B25" s="5" t="s">
        <v>20</v>
      </c>
      <c r="C25" s="2">
        <v>10000</v>
      </c>
      <c r="D25" s="2" t="s">
        <v>8</v>
      </c>
      <c r="E25" s="2">
        <v>0.01</v>
      </c>
      <c r="F25" s="2">
        <v>1</v>
      </c>
      <c r="G25" s="2" t="s">
        <v>9</v>
      </c>
      <c r="I25">
        <v>100</v>
      </c>
      <c r="J25">
        <v>100</v>
      </c>
      <c r="K25">
        <v>97.560980000000001</v>
      </c>
      <c r="L25">
        <v>100</v>
      </c>
      <c r="N25" s="14">
        <f t="shared" si="0"/>
        <v>99.4</v>
      </c>
      <c r="O25" s="13">
        <v>98.6</v>
      </c>
    </row>
    <row r="26" spans="1:16" x14ac:dyDescent="0.3">
      <c r="A26" s="2" t="s">
        <v>30</v>
      </c>
      <c r="B26" s="5" t="s">
        <v>21</v>
      </c>
      <c r="C26" s="2">
        <v>10000</v>
      </c>
      <c r="D26" s="2" t="s">
        <v>8</v>
      </c>
      <c r="E26" s="2">
        <v>0.01</v>
      </c>
      <c r="F26" s="2">
        <v>1</v>
      </c>
      <c r="G26" s="2" t="s">
        <v>9</v>
      </c>
      <c r="I26">
        <v>100</v>
      </c>
      <c r="J26">
        <v>100</v>
      </c>
      <c r="K26">
        <v>97.560980000000001</v>
      </c>
      <c r="L26">
        <v>100</v>
      </c>
      <c r="N26" s="14">
        <f t="shared" si="0"/>
        <v>99.4</v>
      </c>
      <c r="O26" s="13">
        <v>98.6</v>
      </c>
    </row>
    <row r="27" spans="1:16" x14ac:dyDescent="0.3">
      <c r="A27" s="2" t="s">
        <v>30</v>
      </c>
      <c r="B27" s="5" t="s">
        <v>22</v>
      </c>
      <c r="C27" s="2">
        <v>10000</v>
      </c>
      <c r="D27" s="2" t="s">
        <v>8</v>
      </c>
      <c r="E27" s="2">
        <v>0.01</v>
      </c>
      <c r="F27" s="2">
        <v>1</v>
      </c>
      <c r="G27" s="2" t="s">
        <v>9</v>
      </c>
      <c r="I27">
        <v>100</v>
      </c>
      <c r="J27">
        <v>100</v>
      </c>
      <c r="K27">
        <v>97.560980000000001</v>
      </c>
      <c r="L27">
        <v>99.4709</v>
      </c>
      <c r="N27" s="15">
        <f t="shared" si="0"/>
        <v>99.3</v>
      </c>
      <c r="O27" s="12">
        <v>98.8</v>
      </c>
    </row>
    <row r="28" spans="1:16" x14ac:dyDescent="0.3">
      <c r="A28" s="2" t="s">
        <v>30</v>
      </c>
      <c r="B28" s="5" t="s">
        <v>23</v>
      </c>
      <c r="C28" s="2">
        <v>10000</v>
      </c>
      <c r="D28" s="2" t="s">
        <v>8</v>
      </c>
      <c r="E28" s="2">
        <v>0.01</v>
      </c>
      <c r="F28" s="2">
        <v>1</v>
      </c>
      <c r="G28" s="2" t="s">
        <v>9</v>
      </c>
      <c r="I28">
        <v>100</v>
      </c>
      <c r="J28">
        <v>100</v>
      </c>
      <c r="K28">
        <v>97.560980000000001</v>
      </c>
      <c r="L28">
        <v>100</v>
      </c>
      <c r="N28" s="14">
        <f t="shared" si="0"/>
        <v>99.4</v>
      </c>
      <c r="O28" s="13">
        <v>98.6</v>
      </c>
    </row>
    <row r="29" spans="1:16" x14ac:dyDescent="0.3">
      <c r="A29" s="2" t="s">
        <v>30</v>
      </c>
      <c r="B29" s="5" t="s">
        <v>24</v>
      </c>
      <c r="C29" s="2">
        <v>10000</v>
      </c>
      <c r="D29" s="2" t="s">
        <v>8</v>
      </c>
      <c r="E29" s="2">
        <v>0.01</v>
      </c>
      <c r="F29" s="2">
        <v>1</v>
      </c>
      <c r="G29" s="2" t="s">
        <v>9</v>
      </c>
      <c r="I29">
        <v>100</v>
      </c>
      <c r="J29">
        <v>100</v>
      </c>
      <c r="K29">
        <v>97.560980000000001</v>
      </c>
      <c r="L29">
        <v>100</v>
      </c>
      <c r="N29" s="14">
        <f t="shared" si="0"/>
        <v>99.4</v>
      </c>
      <c r="O29" s="13">
        <v>98.6</v>
      </c>
    </row>
    <row r="30" spans="1:16" x14ac:dyDescent="0.3">
      <c r="A30" s="2" t="s">
        <v>30</v>
      </c>
      <c r="B30" s="5" t="s">
        <v>25</v>
      </c>
      <c r="C30" s="2">
        <v>10000</v>
      </c>
      <c r="D30" s="2" t="s">
        <v>8</v>
      </c>
      <c r="E30" s="2">
        <v>0.01</v>
      </c>
      <c r="F30" s="2">
        <v>1</v>
      </c>
      <c r="G30" s="2" t="s">
        <v>9</v>
      </c>
      <c r="I30">
        <v>100</v>
      </c>
      <c r="J30">
        <v>100</v>
      </c>
      <c r="K30">
        <v>97.560980000000001</v>
      </c>
      <c r="L30">
        <v>99.4709</v>
      </c>
      <c r="N30" s="15">
        <f t="shared" si="0"/>
        <v>99.3</v>
      </c>
      <c r="O30" s="13">
        <v>98.6</v>
      </c>
    </row>
    <row r="31" spans="1:16" x14ac:dyDescent="0.3">
      <c r="A31" s="2" t="s">
        <v>30</v>
      </c>
      <c r="B31" s="5" t="s">
        <v>26</v>
      </c>
      <c r="C31" s="2">
        <v>10000</v>
      </c>
      <c r="D31" s="2" t="s">
        <v>8</v>
      </c>
      <c r="E31" s="2">
        <v>0.01</v>
      </c>
      <c r="F31" s="2">
        <v>1</v>
      </c>
      <c r="G31" s="2" t="s">
        <v>9</v>
      </c>
      <c r="I31">
        <v>100</v>
      </c>
      <c r="J31">
        <v>100</v>
      </c>
      <c r="K31">
        <v>97.560980000000001</v>
      </c>
      <c r="L31">
        <v>100</v>
      </c>
      <c r="N31" s="14">
        <f t="shared" si="0"/>
        <v>99.4</v>
      </c>
      <c r="O31" s="13">
        <v>98.6</v>
      </c>
      <c r="P31" t="s">
        <v>83</v>
      </c>
    </row>
    <row r="32" spans="1:16" x14ac:dyDescent="0.3">
      <c r="A32" s="2" t="s">
        <v>33</v>
      </c>
      <c r="B32" s="5" t="s">
        <v>28</v>
      </c>
      <c r="C32" s="2">
        <v>10000</v>
      </c>
      <c r="D32" s="2" t="s">
        <v>8</v>
      </c>
      <c r="E32" s="2">
        <v>0.01</v>
      </c>
      <c r="F32" s="2">
        <v>1</v>
      </c>
      <c r="G32" s="2" t="s">
        <v>27</v>
      </c>
      <c r="I32">
        <v>100</v>
      </c>
      <c r="J32">
        <v>100</v>
      </c>
      <c r="K32">
        <v>92.682929999999999</v>
      </c>
      <c r="L32">
        <v>97.872339999999994</v>
      </c>
      <c r="N32" s="17">
        <f t="shared" si="0"/>
        <v>97.6</v>
      </c>
      <c r="O32" s="2"/>
      <c r="P32" s="26">
        <v>97.5</v>
      </c>
    </row>
    <row r="33" spans="1:16" x14ac:dyDescent="0.3">
      <c r="A33" s="2" t="s">
        <v>33</v>
      </c>
      <c r="B33" s="5" t="s">
        <v>7</v>
      </c>
      <c r="C33" s="2">
        <v>10000</v>
      </c>
      <c r="D33" s="2" t="s">
        <v>8</v>
      </c>
      <c r="E33" s="2">
        <v>0.01</v>
      </c>
      <c r="F33" s="2">
        <v>1</v>
      </c>
      <c r="G33" s="2" t="s">
        <v>27</v>
      </c>
      <c r="I33">
        <v>100</v>
      </c>
      <c r="J33">
        <v>100</v>
      </c>
      <c r="K33">
        <v>90.243899999999996</v>
      </c>
      <c r="L33">
        <v>98.936170000000004</v>
      </c>
      <c r="N33" s="18">
        <f t="shared" si="0"/>
        <v>97.3</v>
      </c>
      <c r="O33" s="3"/>
      <c r="P33" s="18">
        <v>97.3</v>
      </c>
    </row>
    <row r="34" spans="1:16" x14ac:dyDescent="0.3">
      <c r="A34" s="2" t="s">
        <v>33</v>
      </c>
      <c r="B34" s="5" t="s">
        <v>14</v>
      </c>
      <c r="C34" s="2">
        <v>10000</v>
      </c>
      <c r="D34" s="2" t="s">
        <v>8</v>
      </c>
      <c r="E34" s="2">
        <v>0.01</v>
      </c>
      <c r="F34" s="2">
        <v>1</v>
      </c>
      <c r="G34" s="2" t="s">
        <v>27</v>
      </c>
      <c r="I34">
        <v>100</v>
      </c>
      <c r="J34">
        <v>100</v>
      </c>
      <c r="K34">
        <v>95.121949999999998</v>
      </c>
      <c r="L34">
        <v>97.340429999999998</v>
      </c>
      <c r="N34" s="16">
        <f t="shared" si="0"/>
        <v>98.1</v>
      </c>
      <c r="O34" s="3"/>
      <c r="P34" s="38">
        <v>96.2</v>
      </c>
    </row>
    <row r="35" spans="1:16" x14ac:dyDescent="0.3">
      <c r="A35" s="2" t="s">
        <v>33</v>
      </c>
      <c r="B35" s="5" t="s">
        <v>15</v>
      </c>
      <c r="C35" s="2">
        <v>10000</v>
      </c>
      <c r="D35" s="2" t="s">
        <v>8</v>
      </c>
      <c r="E35" s="2">
        <v>0.01</v>
      </c>
      <c r="F35" s="2">
        <v>1</v>
      </c>
      <c r="G35" s="2" t="s">
        <v>27</v>
      </c>
      <c r="I35">
        <v>100</v>
      </c>
      <c r="J35">
        <v>99.33775</v>
      </c>
      <c r="K35">
        <v>14.63415</v>
      </c>
      <c r="L35">
        <v>98.936170000000004</v>
      </c>
      <c r="N35" s="10">
        <f t="shared" si="0"/>
        <v>78.2</v>
      </c>
      <c r="O35" s="3"/>
      <c r="P35" s="39">
        <v>97.1</v>
      </c>
    </row>
    <row r="36" spans="1:16" x14ac:dyDescent="0.3">
      <c r="A36" s="2" t="s">
        <v>33</v>
      </c>
      <c r="B36" s="5" t="s">
        <v>16</v>
      </c>
      <c r="C36" s="2">
        <v>10000</v>
      </c>
      <c r="D36" s="2" t="s">
        <v>8</v>
      </c>
      <c r="E36" s="2">
        <v>0.01</v>
      </c>
      <c r="F36" s="2">
        <v>1</v>
      </c>
      <c r="G36" s="2" t="s">
        <v>27</v>
      </c>
      <c r="I36">
        <v>100</v>
      </c>
      <c r="J36">
        <v>100</v>
      </c>
      <c r="K36">
        <v>90.243899999999996</v>
      </c>
      <c r="L36">
        <v>98.404259999999994</v>
      </c>
      <c r="N36" s="19">
        <f t="shared" si="0"/>
        <v>97.2</v>
      </c>
      <c r="O36" s="3"/>
      <c r="P36" s="17">
        <v>97.6</v>
      </c>
    </row>
    <row r="37" spans="1:16" x14ac:dyDescent="0.3">
      <c r="A37" s="2" t="s">
        <v>33</v>
      </c>
      <c r="B37" s="5" t="s">
        <v>17</v>
      </c>
      <c r="C37" s="2">
        <v>10000</v>
      </c>
      <c r="D37" s="2" t="s">
        <v>8</v>
      </c>
      <c r="E37" s="2">
        <v>0.01</v>
      </c>
      <c r="F37" s="2">
        <v>1</v>
      </c>
      <c r="G37" s="2" t="s">
        <v>27</v>
      </c>
      <c r="I37">
        <v>100</v>
      </c>
      <c r="J37">
        <v>99.33775</v>
      </c>
      <c r="K37">
        <v>85.365849999999995</v>
      </c>
      <c r="L37">
        <v>98.404259999999994</v>
      </c>
      <c r="N37" s="20">
        <f t="shared" si="0"/>
        <v>95.8</v>
      </c>
      <c r="O37" s="3"/>
      <c r="P37" s="27">
        <v>98.3</v>
      </c>
    </row>
    <row r="38" spans="1:16" x14ac:dyDescent="0.3">
      <c r="A38" s="2" t="s">
        <v>33</v>
      </c>
      <c r="B38" s="5" t="s">
        <v>18</v>
      </c>
      <c r="C38" s="2">
        <v>10000</v>
      </c>
      <c r="D38" s="2" t="s">
        <v>8</v>
      </c>
      <c r="E38" s="2">
        <v>0.01</v>
      </c>
      <c r="F38" s="2">
        <v>1</v>
      </c>
      <c r="G38" s="2" t="s">
        <v>27</v>
      </c>
      <c r="I38">
        <v>100</v>
      </c>
      <c r="J38">
        <v>100</v>
      </c>
      <c r="K38">
        <v>95.121949999999998</v>
      </c>
      <c r="L38">
        <v>98.404259999999994</v>
      </c>
      <c r="N38" s="21">
        <f t="shared" si="0"/>
        <v>98.4</v>
      </c>
      <c r="O38" s="3"/>
      <c r="P38" s="40">
        <v>96.7</v>
      </c>
    </row>
    <row r="39" spans="1:16" x14ac:dyDescent="0.3">
      <c r="A39" s="2" t="s">
        <v>33</v>
      </c>
      <c r="B39" s="5" t="s">
        <v>19</v>
      </c>
      <c r="C39" s="2">
        <v>10000</v>
      </c>
      <c r="D39" s="2" t="s">
        <v>8</v>
      </c>
      <c r="E39" s="2">
        <v>0.01</v>
      </c>
      <c r="F39" s="2">
        <v>1</v>
      </c>
      <c r="G39" s="2" t="s">
        <v>27</v>
      </c>
      <c r="I39">
        <v>100</v>
      </c>
      <c r="J39">
        <v>98.6755</v>
      </c>
      <c r="K39">
        <v>87.804879999999997</v>
      </c>
      <c r="L39">
        <v>97.340429999999998</v>
      </c>
      <c r="N39" s="22">
        <f t="shared" si="0"/>
        <v>96</v>
      </c>
      <c r="O39" s="3"/>
      <c r="P39" s="41">
        <v>96.1</v>
      </c>
    </row>
    <row r="40" spans="1:16" x14ac:dyDescent="0.3">
      <c r="A40" s="2" t="s">
        <v>33</v>
      </c>
      <c r="B40" s="5" t="s">
        <v>20</v>
      </c>
      <c r="C40" s="2">
        <v>10000</v>
      </c>
      <c r="D40" s="2" t="s">
        <v>8</v>
      </c>
      <c r="E40" s="2">
        <v>0.01</v>
      </c>
      <c r="F40" s="2">
        <v>1</v>
      </c>
      <c r="G40" s="2" t="s">
        <v>27</v>
      </c>
      <c r="I40">
        <v>100</v>
      </c>
      <c r="J40">
        <v>98.6755</v>
      </c>
      <c r="K40">
        <v>90.243899999999996</v>
      </c>
      <c r="L40">
        <v>98.404259999999994</v>
      </c>
      <c r="N40" s="23">
        <f t="shared" si="0"/>
        <v>96.8</v>
      </c>
      <c r="O40" s="4"/>
      <c r="P40" s="42">
        <v>97</v>
      </c>
    </row>
    <row r="41" spans="1:16" x14ac:dyDescent="0.3">
      <c r="A41" s="2" t="s">
        <v>33</v>
      </c>
      <c r="B41" s="5" t="s">
        <v>21</v>
      </c>
      <c r="C41" s="2">
        <v>10000</v>
      </c>
      <c r="D41" s="2" t="s">
        <v>8</v>
      </c>
      <c r="E41" s="2">
        <v>0.01</v>
      </c>
      <c r="F41" s="2">
        <v>1</v>
      </c>
      <c r="G41" s="2" t="s">
        <v>27</v>
      </c>
      <c r="I41">
        <v>100</v>
      </c>
      <c r="J41">
        <v>99.33775</v>
      </c>
      <c r="K41">
        <v>97.560980000000001</v>
      </c>
      <c r="L41">
        <v>98.404259999999994</v>
      </c>
      <c r="N41" s="12">
        <f t="shared" si="0"/>
        <v>98.8</v>
      </c>
      <c r="O41" s="4"/>
      <c r="P41" s="28">
        <v>97.9</v>
      </c>
    </row>
    <row r="42" spans="1:16" x14ac:dyDescent="0.3">
      <c r="A42" s="2" t="s">
        <v>33</v>
      </c>
      <c r="B42" s="5" t="s">
        <v>22</v>
      </c>
      <c r="C42" s="2">
        <v>10000</v>
      </c>
      <c r="D42" s="2" t="s">
        <v>8</v>
      </c>
      <c r="E42" s="2">
        <v>0.01</v>
      </c>
      <c r="F42" s="2">
        <v>1</v>
      </c>
      <c r="G42" s="2" t="s">
        <v>27</v>
      </c>
      <c r="I42">
        <v>100</v>
      </c>
      <c r="J42">
        <v>100</v>
      </c>
      <c r="K42">
        <v>100</v>
      </c>
      <c r="L42">
        <v>97.872339999999994</v>
      </c>
      <c r="N42" s="24">
        <f t="shared" si="0"/>
        <v>99.5</v>
      </c>
      <c r="O42" s="4"/>
      <c r="P42" s="17">
        <v>97.6</v>
      </c>
    </row>
    <row r="43" spans="1:16" x14ac:dyDescent="0.3">
      <c r="A43" s="2" t="s">
        <v>33</v>
      </c>
      <c r="B43" s="5" t="s">
        <v>23</v>
      </c>
      <c r="C43" s="2">
        <v>10000</v>
      </c>
      <c r="D43" s="2" t="s">
        <v>8</v>
      </c>
      <c r="E43" s="2">
        <v>0.01</v>
      </c>
      <c r="F43" s="2">
        <v>1</v>
      </c>
      <c r="G43" s="2" t="s">
        <v>27</v>
      </c>
      <c r="I43">
        <v>100</v>
      </c>
      <c r="J43">
        <v>100</v>
      </c>
      <c r="K43">
        <v>92.682929999999999</v>
      </c>
      <c r="L43">
        <v>98.404259999999994</v>
      </c>
      <c r="N43" s="25">
        <f t="shared" si="0"/>
        <v>97.8</v>
      </c>
      <c r="O43" s="3"/>
      <c r="P43" s="13">
        <v>98.6</v>
      </c>
    </row>
    <row r="44" spans="1:16" x14ac:dyDescent="0.3">
      <c r="A44" s="2" t="s">
        <v>33</v>
      </c>
      <c r="B44" s="5" t="s">
        <v>24</v>
      </c>
      <c r="C44" s="2">
        <v>10000</v>
      </c>
      <c r="D44" s="2" t="s">
        <v>8</v>
      </c>
      <c r="E44" s="2">
        <v>0.01</v>
      </c>
      <c r="F44" s="2">
        <v>1</v>
      </c>
      <c r="G44" s="2" t="s">
        <v>27</v>
      </c>
      <c r="I44">
        <v>100</v>
      </c>
      <c r="J44">
        <v>99.33775</v>
      </c>
      <c r="K44">
        <v>92.682929999999999</v>
      </c>
      <c r="L44">
        <v>97.872339999999994</v>
      </c>
      <c r="N44" s="26">
        <f t="shared" si="0"/>
        <v>97.5</v>
      </c>
      <c r="O44" s="4"/>
      <c r="P44" s="36">
        <v>98.2</v>
      </c>
    </row>
    <row r="45" spans="1:16" x14ac:dyDescent="0.3">
      <c r="A45" s="2" t="s">
        <v>33</v>
      </c>
      <c r="B45" s="5" t="s">
        <v>25</v>
      </c>
      <c r="C45" s="2">
        <v>10000</v>
      </c>
      <c r="D45" s="2" t="s">
        <v>8</v>
      </c>
      <c r="E45" s="2">
        <v>0.01</v>
      </c>
      <c r="F45" s="2">
        <v>1</v>
      </c>
      <c r="G45" s="2" t="s">
        <v>27</v>
      </c>
      <c r="I45">
        <v>100</v>
      </c>
      <c r="J45">
        <v>99.33775</v>
      </c>
      <c r="K45">
        <v>95.121949999999998</v>
      </c>
      <c r="L45">
        <v>98.936170000000004</v>
      </c>
      <c r="N45" s="27">
        <f t="shared" si="0"/>
        <v>98.3</v>
      </c>
      <c r="O45" s="4"/>
      <c r="P45" s="18">
        <v>97.3</v>
      </c>
    </row>
    <row r="46" spans="1:16" x14ac:dyDescent="0.3">
      <c r="A46" s="2" t="s">
        <v>33</v>
      </c>
      <c r="B46" s="5" t="s">
        <v>26</v>
      </c>
      <c r="C46" s="2">
        <v>10000</v>
      </c>
      <c r="D46" s="2" t="s">
        <v>8</v>
      </c>
      <c r="E46" s="2">
        <v>0.01</v>
      </c>
      <c r="F46" s="2">
        <v>1</v>
      </c>
      <c r="G46" s="2" t="s">
        <v>27</v>
      </c>
      <c r="I46">
        <v>100</v>
      </c>
      <c r="J46">
        <v>100</v>
      </c>
      <c r="K46">
        <v>92.682929999999999</v>
      </c>
      <c r="L46">
        <v>98.936170000000004</v>
      </c>
      <c r="N46" s="28">
        <f t="shared" si="0"/>
        <v>97.9</v>
      </c>
      <c r="O46" s="4"/>
      <c r="P46" s="43">
        <v>97.7</v>
      </c>
    </row>
    <row r="47" spans="1:16" x14ac:dyDescent="0.3">
      <c r="A47" s="2" t="s">
        <v>33</v>
      </c>
      <c r="B47" s="5" t="s">
        <v>28</v>
      </c>
      <c r="C47" s="2">
        <v>10000</v>
      </c>
      <c r="D47" s="2" t="s">
        <v>8</v>
      </c>
      <c r="E47" s="2">
        <v>0.01</v>
      </c>
      <c r="F47" s="2">
        <v>1</v>
      </c>
      <c r="G47" s="2" t="s">
        <v>9</v>
      </c>
      <c r="I47">
        <v>100</v>
      </c>
      <c r="J47">
        <v>0</v>
      </c>
      <c r="K47">
        <v>0</v>
      </c>
      <c r="L47">
        <v>98.936170000000004</v>
      </c>
      <c r="N47" s="10">
        <f t="shared" si="0"/>
        <v>49.7</v>
      </c>
      <c r="P47" s="10">
        <v>75.599999999999994</v>
      </c>
    </row>
    <row r="48" spans="1:16" x14ac:dyDescent="0.3">
      <c r="A48" s="2" t="s">
        <v>33</v>
      </c>
      <c r="B48" s="5" t="s">
        <v>7</v>
      </c>
      <c r="C48" s="2">
        <v>10000</v>
      </c>
      <c r="D48" s="2" t="s">
        <v>8</v>
      </c>
      <c r="E48" s="2">
        <v>0.01</v>
      </c>
      <c r="F48" s="2">
        <v>1</v>
      </c>
      <c r="G48" s="2" t="s">
        <v>9</v>
      </c>
      <c r="I48">
        <v>100</v>
      </c>
      <c r="J48">
        <v>100</v>
      </c>
      <c r="K48">
        <v>78.048779999999994</v>
      </c>
      <c r="L48">
        <v>94.148939999999996</v>
      </c>
      <c r="N48" s="29">
        <f t="shared" si="0"/>
        <v>93</v>
      </c>
      <c r="P48" s="10">
        <v>49.7</v>
      </c>
    </row>
    <row r="49" spans="1:16" x14ac:dyDescent="0.3">
      <c r="A49" s="2" t="s">
        <v>33</v>
      </c>
      <c r="B49" s="5" t="s">
        <v>14</v>
      </c>
      <c r="C49" s="2">
        <v>10000</v>
      </c>
      <c r="D49" s="2" t="s">
        <v>8</v>
      </c>
      <c r="E49" s="2">
        <v>0.01</v>
      </c>
      <c r="F49" s="2">
        <v>1</v>
      </c>
      <c r="G49" s="2" t="s">
        <v>9</v>
      </c>
      <c r="I49">
        <v>100</v>
      </c>
      <c r="J49">
        <v>0.66225000000000001</v>
      </c>
      <c r="K49">
        <v>0</v>
      </c>
      <c r="L49">
        <v>99.468090000000004</v>
      </c>
      <c r="N49" s="10">
        <f t="shared" si="0"/>
        <v>50</v>
      </c>
      <c r="P49" s="28">
        <v>97.9</v>
      </c>
    </row>
    <row r="50" spans="1:16" x14ac:dyDescent="0.3">
      <c r="A50" s="2" t="s">
        <v>33</v>
      </c>
      <c r="B50" s="5" t="s">
        <v>15</v>
      </c>
      <c r="C50" s="2">
        <v>10000</v>
      </c>
      <c r="D50" s="2" t="s">
        <v>8</v>
      </c>
      <c r="E50" s="2">
        <v>0.01</v>
      </c>
      <c r="F50" s="2">
        <v>1</v>
      </c>
      <c r="G50" s="2" t="s">
        <v>9</v>
      </c>
      <c r="I50">
        <v>100</v>
      </c>
      <c r="J50">
        <v>100</v>
      </c>
      <c r="K50">
        <v>95.121949999999998</v>
      </c>
      <c r="L50">
        <v>96.276600000000002</v>
      </c>
      <c r="N50" s="25">
        <f t="shared" si="0"/>
        <v>97.8</v>
      </c>
      <c r="P50" s="44">
        <v>98</v>
      </c>
    </row>
    <row r="51" spans="1:16" x14ac:dyDescent="0.3">
      <c r="A51" s="2" t="s">
        <v>33</v>
      </c>
      <c r="B51" s="5" t="s">
        <v>16</v>
      </c>
      <c r="C51" s="2">
        <v>10000</v>
      </c>
      <c r="D51" s="2" t="s">
        <v>8</v>
      </c>
      <c r="E51" s="2">
        <v>0.01</v>
      </c>
      <c r="F51" s="2">
        <v>1</v>
      </c>
      <c r="G51" s="2" t="s">
        <v>9</v>
      </c>
      <c r="I51">
        <v>100</v>
      </c>
      <c r="J51">
        <v>100</v>
      </c>
      <c r="K51">
        <v>92.682929999999999</v>
      </c>
      <c r="L51">
        <v>97.872339999999994</v>
      </c>
      <c r="N51" s="17">
        <f t="shared" si="0"/>
        <v>97.6</v>
      </c>
      <c r="P51" s="42">
        <v>97</v>
      </c>
    </row>
    <row r="52" spans="1:16" x14ac:dyDescent="0.3">
      <c r="A52" s="2" t="s">
        <v>33</v>
      </c>
      <c r="B52" s="5" t="s">
        <v>17</v>
      </c>
      <c r="C52" s="2">
        <v>10000</v>
      </c>
      <c r="D52" s="2" t="s">
        <v>8</v>
      </c>
      <c r="E52" s="2">
        <v>0.01</v>
      </c>
      <c r="F52" s="2">
        <v>1</v>
      </c>
      <c r="G52" s="2" t="s">
        <v>9</v>
      </c>
      <c r="I52">
        <v>100</v>
      </c>
      <c r="J52">
        <v>100</v>
      </c>
      <c r="K52">
        <v>87.804879999999997</v>
      </c>
      <c r="L52">
        <v>97.340429999999998</v>
      </c>
      <c r="N52" s="30">
        <f t="shared" si="0"/>
        <v>96.3</v>
      </c>
      <c r="P52" s="43">
        <v>97.7</v>
      </c>
    </row>
    <row r="53" spans="1:16" x14ac:dyDescent="0.3">
      <c r="A53" s="2" t="s">
        <v>33</v>
      </c>
      <c r="B53" s="5" t="s">
        <v>18</v>
      </c>
      <c r="C53" s="2">
        <v>10000</v>
      </c>
      <c r="D53" s="2" t="s">
        <v>8</v>
      </c>
      <c r="E53" s="2">
        <v>0.01</v>
      </c>
      <c r="F53" s="2">
        <v>1</v>
      </c>
      <c r="G53" s="2" t="s">
        <v>9</v>
      </c>
      <c r="I53">
        <v>100</v>
      </c>
      <c r="J53">
        <v>100</v>
      </c>
      <c r="K53">
        <v>95.121949999999998</v>
      </c>
      <c r="L53">
        <v>99.468090000000004</v>
      </c>
      <c r="N53" s="13">
        <f t="shared" si="0"/>
        <v>98.6</v>
      </c>
      <c r="P53" s="17">
        <v>97.6</v>
      </c>
    </row>
    <row r="54" spans="1:16" x14ac:dyDescent="0.3">
      <c r="A54" s="2" t="s">
        <v>33</v>
      </c>
      <c r="B54" s="5" t="s">
        <v>19</v>
      </c>
      <c r="C54" s="2">
        <v>10000</v>
      </c>
      <c r="D54" s="2" t="s">
        <v>8</v>
      </c>
      <c r="E54" s="2">
        <v>0.01</v>
      </c>
      <c r="F54" s="2">
        <v>1</v>
      </c>
      <c r="G54" s="2" t="s">
        <v>9</v>
      </c>
      <c r="I54">
        <v>100</v>
      </c>
      <c r="J54">
        <v>100</v>
      </c>
      <c r="K54">
        <v>90.243899999999996</v>
      </c>
      <c r="L54">
        <v>96.276600000000002</v>
      </c>
      <c r="N54" s="31">
        <f t="shared" si="0"/>
        <v>96.6</v>
      </c>
      <c r="P54" s="33">
        <v>98.5</v>
      </c>
    </row>
    <row r="55" spans="1:16" x14ac:dyDescent="0.3">
      <c r="A55" s="2" t="s">
        <v>33</v>
      </c>
      <c r="B55" s="5" t="s">
        <v>20</v>
      </c>
      <c r="C55" s="2">
        <v>10000</v>
      </c>
      <c r="D55" s="2" t="s">
        <v>8</v>
      </c>
      <c r="E55" s="2">
        <v>0.01</v>
      </c>
      <c r="F55" s="2">
        <v>1</v>
      </c>
      <c r="G55" s="2" t="s">
        <v>9</v>
      </c>
      <c r="I55">
        <v>100</v>
      </c>
      <c r="J55">
        <v>100</v>
      </c>
      <c r="K55">
        <v>95.121949999999998</v>
      </c>
      <c r="L55">
        <v>99.468090000000004</v>
      </c>
      <c r="N55" s="13">
        <f t="shared" si="0"/>
        <v>98.6</v>
      </c>
      <c r="P55" s="36">
        <v>98.2</v>
      </c>
    </row>
    <row r="56" spans="1:16" x14ac:dyDescent="0.3">
      <c r="A56" s="2" t="s">
        <v>33</v>
      </c>
      <c r="B56" s="5" t="s">
        <v>21</v>
      </c>
      <c r="C56" s="2">
        <v>10000</v>
      </c>
      <c r="D56" s="2" t="s">
        <v>8</v>
      </c>
      <c r="E56" s="2">
        <v>0.01</v>
      </c>
      <c r="F56" s="2">
        <v>1</v>
      </c>
      <c r="G56" s="2" t="s">
        <v>9</v>
      </c>
      <c r="I56">
        <v>100</v>
      </c>
      <c r="J56">
        <v>98.6755</v>
      </c>
      <c r="K56">
        <v>82.926829999999995</v>
      </c>
      <c r="L56">
        <v>98.404259999999994</v>
      </c>
      <c r="N56" s="32">
        <f t="shared" si="0"/>
        <v>95</v>
      </c>
      <c r="P56" s="44">
        <v>98</v>
      </c>
    </row>
    <row r="57" spans="1:16" x14ac:dyDescent="0.3">
      <c r="A57" s="2" t="s">
        <v>33</v>
      </c>
      <c r="B57" s="5" t="s">
        <v>22</v>
      </c>
      <c r="C57" s="2">
        <v>10000</v>
      </c>
      <c r="D57" s="2" t="s">
        <v>8</v>
      </c>
      <c r="E57" s="2">
        <v>0.01</v>
      </c>
      <c r="F57" s="2">
        <v>1</v>
      </c>
      <c r="G57" s="2" t="s">
        <v>9</v>
      </c>
      <c r="I57">
        <v>100</v>
      </c>
      <c r="J57">
        <v>100</v>
      </c>
      <c r="K57">
        <v>95.121949999999998</v>
      </c>
      <c r="L57">
        <v>98.936170000000004</v>
      </c>
      <c r="N57" s="33">
        <f t="shared" si="0"/>
        <v>98.5</v>
      </c>
      <c r="P57" s="44">
        <v>98</v>
      </c>
    </row>
    <row r="58" spans="1:16" x14ac:dyDescent="0.3">
      <c r="A58" s="2" t="s">
        <v>33</v>
      </c>
      <c r="B58" s="5" t="s">
        <v>23</v>
      </c>
      <c r="C58" s="2">
        <v>10000</v>
      </c>
      <c r="D58" s="2" t="s">
        <v>8</v>
      </c>
      <c r="E58" s="2">
        <v>0.01</v>
      </c>
      <c r="F58" s="2">
        <v>1</v>
      </c>
      <c r="G58" s="2" t="s">
        <v>9</v>
      </c>
      <c r="I58">
        <v>100</v>
      </c>
      <c r="J58">
        <v>100</v>
      </c>
      <c r="K58">
        <v>97.560980000000001</v>
      </c>
      <c r="L58">
        <v>98.936170000000004</v>
      </c>
      <c r="N58" s="34">
        <f t="shared" si="0"/>
        <v>99.1</v>
      </c>
      <c r="P58" s="19">
        <v>97.2</v>
      </c>
    </row>
    <row r="59" spans="1:16" x14ac:dyDescent="0.3">
      <c r="A59" s="2" t="s">
        <v>33</v>
      </c>
      <c r="B59" s="5" t="s">
        <v>24</v>
      </c>
      <c r="C59" s="2">
        <v>10000</v>
      </c>
      <c r="D59" s="2" t="s">
        <v>8</v>
      </c>
      <c r="E59" s="2">
        <v>0.01</v>
      </c>
      <c r="F59" s="2">
        <v>1</v>
      </c>
      <c r="G59" s="2" t="s">
        <v>9</v>
      </c>
      <c r="I59">
        <v>100</v>
      </c>
      <c r="J59">
        <v>100</v>
      </c>
      <c r="K59">
        <v>100</v>
      </c>
      <c r="L59">
        <v>98.404259999999994</v>
      </c>
      <c r="N59" s="35">
        <f t="shared" si="0"/>
        <v>99.6</v>
      </c>
      <c r="P59" s="45">
        <v>97.4</v>
      </c>
    </row>
    <row r="60" spans="1:16" x14ac:dyDescent="0.3">
      <c r="A60" s="2" t="s">
        <v>33</v>
      </c>
      <c r="B60" s="5" t="s">
        <v>25</v>
      </c>
      <c r="C60" s="2">
        <v>10000</v>
      </c>
      <c r="D60" s="2" t="s">
        <v>8</v>
      </c>
      <c r="E60" s="2">
        <v>0.01</v>
      </c>
      <c r="F60" s="2">
        <v>1</v>
      </c>
      <c r="G60" s="2" t="s">
        <v>9</v>
      </c>
      <c r="I60">
        <v>100</v>
      </c>
      <c r="J60">
        <v>100</v>
      </c>
      <c r="K60">
        <v>90.243899999999996</v>
      </c>
      <c r="L60">
        <v>98.936170000000004</v>
      </c>
      <c r="N60" s="18">
        <f t="shared" si="0"/>
        <v>97.3</v>
      </c>
      <c r="P60" s="17">
        <v>97.6</v>
      </c>
    </row>
    <row r="61" spans="1:16" x14ac:dyDescent="0.3">
      <c r="A61" s="2" t="s">
        <v>33</v>
      </c>
      <c r="B61" s="5" t="s">
        <v>26</v>
      </c>
      <c r="C61" s="2">
        <v>10000</v>
      </c>
      <c r="D61" s="2" t="s">
        <v>8</v>
      </c>
      <c r="E61" s="2">
        <v>0.01</v>
      </c>
      <c r="F61" s="2">
        <v>1</v>
      </c>
      <c r="G61" s="2" t="s">
        <v>9</v>
      </c>
      <c r="I61">
        <v>100</v>
      </c>
      <c r="J61">
        <v>100</v>
      </c>
      <c r="K61">
        <v>92.682929999999999</v>
      </c>
      <c r="L61">
        <v>98.936170000000004</v>
      </c>
      <c r="N61" s="28">
        <f t="shared" si="0"/>
        <v>97.9</v>
      </c>
      <c r="P61" s="17">
        <v>97.6</v>
      </c>
    </row>
    <row r="62" spans="1:16" x14ac:dyDescent="0.3">
      <c r="A62" s="2" t="s">
        <v>30</v>
      </c>
      <c r="B62" s="5" t="s">
        <v>28</v>
      </c>
      <c r="C62" s="2">
        <v>10000</v>
      </c>
      <c r="D62" s="2" t="s">
        <v>8</v>
      </c>
      <c r="E62" s="2">
        <v>0.01</v>
      </c>
      <c r="F62" s="2">
        <v>1</v>
      </c>
      <c r="G62" s="2" t="s">
        <v>27</v>
      </c>
      <c r="H62" s="2" t="s">
        <v>31</v>
      </c>
      <c r="I62">
        <v>100</v>
      </c>
      <c r="J62">
        <v>100</v>
      </c>
      <c r="K62">
        <v>95.121949999999998</v>
      </c>
      <c r="L62">
        <v>98.941800000000001</v>
      </c>
      <c r="N62" s="33">
        <f t="shared" si="0"/>
        <v>98.5</v>
      </c>
    </row>
    <row r="63" spans="1:16" x14ac:dyDescent="0.3">
      <c r="A63" s="2" t="s">
        <v>30</v>
      </c>
      <c r="B63" s="5" t="s">
        <v>7</v>
      </c>
      <c r="C63" s="2">
        <v>10000</v>
      </c>
      <c r="D63" s="2" t="s">
        <v>8</v>
      </c>
      <c r="E63" s="2">
        <v>0.01</v>
      </c>
      <c r="F63" s="2">
        <v>1</v>
      </c>
      <c r="G63" s="2" t="s">
        <v>27</v>
      </c>
      <c r="H63" s="2" t="s">
        <v>31</v>
      </c>
      <c r="I63">
        <v>100</v>
      </c>
      <c r="J63">
        <v>100</v>
      </c>
      <c r="K63">
        <v>97.560980000000001</v>
      </c>
      <c r="L63">
        <v>96.825400000000002</v>
      </c>
      <c r="N63" s="13">
        <f t="shared" si="0"/>
        <v>98.6</v>
      </c>
    </row>
    <row r="64" spans="1:16" x14ac:dyDescent="0.3">
      <c r="A64" s="2" t="s">
        <v>30</v>
      </c>
      <c r="B64" s="5" t="s">
        <v>14</v>
      </c>
      <c r="C64" s="2">
        <v>10000</v>
      </c>
      <c r="D64" s="2" t="s">
        <v>8</v>
      </c>
      <c r="E64" s="2">
        <v>0.01</v>
      </c>
      <c r="F64" s="2">
        <v>1</v>
      </c>
      <c r="G64" s="2" t="s">
        <v>27</v>
      </c>
      <c r="H64" s="2" t="s">
        <v>31</v>
      </c>
      <c r="I64">
        <v>100</v>
      </c>
      <c r="J64">
        <v>100</v>
      </c>
      <c r="K64">
        <v>95.121949999999998</v>
      </c>
      <c r="L64">
        <v>98.941800000000001</v>
      </c>
      <c r="N64" s="33">
        <f t="shared" si="0"/>
        <v>98.5</v>
      </c>
    </row>
    <row r="65" spans="1:14" x14ac:dyDescent="0.3">
      <c r="A65" s="2" t="s">
        <v>30</v>
      </c>
      <c r="B65" s="5" t="s">
        <v>15</v>
      </c>
      <c r="C65" s="2">
        <v>10000</v>
      </c>
      <c r="D65" s="2" t="s">
        <v>8</v>
      </c>
      <c r="E65" s="2">
        <v>0.01</v>
      </c>
      <c r="F65" s="2">
        <v>1</v>
      </c>
      <c r="G65" s="2" t="s">
        <v>27</v>
      </c>
      <c r="H65" s="2" t="s">
        <v>31</v>
      </c>
      <c r="I65">
        <v>100</v>
      </c>
      <c r="J65">
        <v>100</v>
      </c>
      <c r="K65">
        <v>95.121949999999998</v>
      </c>
      <c r="L65">
        <v>98.941800000000001</v>
      </c>
      <c r="N65" s="33">
        <f t="shared" si="0"/>
        <v>98.5</v>
      </c>
    </row>
    <row r="66" spans="1:14" x14ac:dyDescent="0.3">
      <c r="A66" s="2" t="s">
        <v>30</v>
      </c>
      <c r="B66" s="5" t="s">
        <v>16</v>
      </c>
      <c r="C66" s="2">
        <v>10000</v>
      </c>
      <c r="D66" s="2" t="s">
        <v>8</v>
      </c>
      <c r="E66" s="2">
        <v>0.01</v>
      </c>
      <c r="F66" s="2">
        <v>1</v>
      </c>
      <c r="G66" s="2" t="s">
        <v>27</v>
      </c>
      <c r="H66" s="2" t="s">
        <v>31</v>
      </c>
      <c r="I66">
        <v>100</v>
      </c>
      <c r="J66">
        <v>100</v>
      </c>
      <c r="K66">
        <v>95.121949999999998</v>
      </c>
      <c r="L66">
        <v>98.941800000000001</v>
      </c>
      <c r="N66" s="33">
        <f t="shared" si="0"/>
        <v>98.5</v>
      </c>
    </row>
    <row r="67" spans="1:14" x14ac:dyDescent="0.3">
      <c r="A67" s="2" t="s">
        <v>30</v>
      </c>
      <c r="B67" s="5" t="s">
        <v>17</v>
      </c>
      <c r="C67" s="2">
        <v>10000</v>
      </c>
      <c r="D67" s="2" t="s">
        <v>8</v>
      </c>
      <c r="E67" s="2">
        <v>0.01</v>
      </c>
      <c r="F67" s="2">
        <v>1</v>
      </c>
      <c r="G67" s="2" t="s">
        <v>27</v>
      </c>
      <c r="H67" s="2" t="s">
        <v>31</v>
      </c>
      <c r="I67">
        <v>100</v>
      </c>
      <c r="J67">
        <v>100</v>
      </c>
      <c r="K67">
        <v>95.121949999999998</v>
      </c>
      <c r="L67">
        <v>99.4709</v>
      </c>
      <c r="N67" s="13">
        <f t="shared" ref="N67:N121" si="1">ROUND(AVERAGE(I67:L67),1)</f>
        <v>98.6</v>
      </c>
    </row>
    <row r="68" spans="1:14" x14ac:dyDescent="0.3">
      <c r="A68" s="2" t="s">
        <v>30</v>
      </c>
      <c r="B68" s="5" t="s">
        <v>18</v>
      </c>
      <c r="C68" s="2">
        <v>10000</v>
      </c>
      <c r="D68" s="2" t="s">
        <v>8</v>
      </c>
      <c r="E68" s="2">
        <v>0.01</v>
      </c>
      <c r="F68" s="2">
        <v>1</v>
      </c>
      <c r="G68" s="2" t="s">
        <v>27</v>
      </c>
      <c r="H68" s="2" t="s">
        <v>31</v>
      </c>
      <c r="I68">
        <v>100</v>
      </c>
      <c r="J68">
        <v>100</v>
      </c>
      <c r="K68">
        <v>95.121949999999998</v>
      </c>
      <c r="L68">
        <v>99.4709</v>
      </c>
      <c r="N68" s="13">
        <f t="shared" si="1"/>
        <v>98.6</v>
      </c>
    </row>
    <row r="69" spans="1:14" x14ac:dyDescent="0.3">
      <c r="A69" s="2" t="s">
        <v>30</v>
      </c>
      <c r="B69" s="5" t="s">
        <v>19</v>
      </c>
      <c r="C69" s="2">
        <v>10000</v>
      </c>
      <c r="D69" s="2" t="s">
        <v>8</v>
      </c>
      <c r="E69" s="2">
        <v>0.01</v>
      </c>
      <c r="F69" s="2">
        <v>1</v>
      </c>
      <c r="G69" s="2" t="s">
        <v>27</v>
      </c>
      <c r="H69" s="2" t="s">
        <v>31</v>
      </c>
      <c r="I69">
        <v>100</v>
      </c>
      <c r="J69">
        <v>100</v>
      </c>
      <c r="K69">
        <v>95.121949999999998</v>
      </c>
      <c r="L69">
        <v>98.941800000000001</v>
      </c>
      <c r="N69" s="33">
        <f t="shared" si="1"/>
        <v>98.5</v>
      </c>
    </row>
    <row r="70" spans="1:14" x14ac:dyDescent="0.3">
      <c r="A70" s="2" t="s">
        <v>30</v>
      </c>
      <c r="B70" s="5" t="s">
        <v>20</v>
      </c>
      <c r="C70" s="2">
        <v>10000</v>
      </c>
      <c r="D70" s="2" t="s">
        <v>8</v>
      </c>
      <c r="E70" s="2">
        <v>0.01</v>
      </c>
      <c r="F70" s="2">
        <v>1</v>
      </c>
      <c r="G70" s="2" t="s">
        <v>27</v>
      </c>
      <c r="H70" s="2" t="s">
        <v>31</v>
      </c>
      <c r="I70">
        <v>100</v>
      </c>
      <c r="J70">
        <v>100</v>
      </c>
      <c r="K70">
        <v>92.682929999999999</v>
      </c>
      <c r="L70">
        <v>100</v>
      </c>
      <c r="N70" s="36">
        <f t="shared" si="1"/>
        <v>98.2</v>
      </c>
    </row>
    <row r="71" spans="1:14" x14ac:dyDescent="0.3">
      <c r="A71" s="2" t="s">
        <v>30</v>
      </c>
      <c r="B71" s="5" t="s">
        <v>21</v>
      </c>
      <c r="C71" s="2">
        <v>10000</v>
      </c>
      <c r="D71" s="2" t="s">
        <v>8</v>
      </c>
      <c r="E71" s="2">
        <v>0.01</v>
      </c>
      <c r="F71" s="2">
        <v>1</v>
      </c>
      <c r="G71" s="2" t="s">
        <v>27</v>
      </c>
      <c r="H71" s="2" t="s">
        <v>31</v>
      </c>
      <c r="I71">
        <v>100</v>
      </c>
      <c r="J71">
        <v>100</v>
      </c>
      <c r="K71">
        <v>95.121949999999998</v>
      </c>
      <c r="L71">
        <v>99.4709</v>
      </c>
      <c r="N71" s="13">
        <f t="shared" si="1"/>
        <v>98.6</v>
      </c>
    </row>
    <row r="72" spans="1:14" x14ac:dyDescent="0.3">
      <c r="A72" s="2" t="s">
        <v>30</v>
      </c>
      <c r="B72" s="5" t="s">
        <v>22</v>
      </c>
      <c r="C72" s="2">
        <v>10000</v>
      </c>
      <c r="D72" s="2" t="s">
        <v>8</v>
      </c>
      <c r="E72" s="2">
        <v>0.01</v>
      </c>
      <c r="F72" s="2">
        <v>1</v>
      </c>
      <c r="G72" s="2" t="s">
        <v>27</v>
      </c>
      <c r="H72" s="2" t="s">
        <v>31</v>
      </c>
      <c r="I72">
        <v>100</v>
      </c>
      <c r="J72">
        <v>100</v>
      </c>
      <c r="K72">
        <v>95.121949999999998</v>
      </c>
      <c r="L72">
        <v>99.4709</v>
      </c>
      <c r="N72" s="13">
        <f t="shared" si="1"/>
        <v>98.6</v>
      </c>
    </row>
    <row r="73" spans="1:14" x14ac:dyDescent="0.3">
      <c r="A73" s="2" t="s">
        <v>30</v>
      </c>
      <c r="B73" s="5" t="s">
        <v>23</v>
      </c>
      <c r="C73" s="2">
        <v>10000</v>
      </c>
      <c r="D73" s="2" t="s">
        <v>8</v>
      </c>
      <c r="E73" s="2">
        <v>0.01</v>
      </c>
      <c r="F73" s="2">
        <v>1</v>
      </c>
      <c r="G73" s="2" t="s">
        <v>27</v>
      </c>
      <c r="H73" s="2" t="s">
        <v>31</v>
      </c>
      <c r="I73">
        <v>100</v>
      </c>
      <c r="J73">
        <v>100</v>
      </c>
      <c r="K73">
        <v>95.121949999999998</v>
      </c>
      <c r="L73">
        <v>99.4709</v>
      </c>
      <c r="N73" s="13">
        <f t="shared" si="1"/>
        <v>98.6</v>
      </c>
    </row>
    <row r="74" spans="1:14" x14ac:dyDescent="0.3">
      <c r="A74" s="2" t="s">
        <v>30</v>
      </c>
      <c r="B74" s="5" t="s">
        <v>24</v>
      </c>
      <c r="C74" s="2">
        <v>10000</v>
      </c>
      <c r="D74" s="2" t="s">
        <v>8</v>
      </c>
      <c r="E74" s="2">
        <v>0.01</v>
      </c>
      <c r="F74" s="2">
        <v>1</v>
      </c>
      <c r="G74" s="2" t="s">
        <v>27</v>
      </c>
      <c r="H74" s="2" t="s">
        <v>31</v>
      </c>
      <c r="I74">
        <v>100</v>
      </c>
      <c r="J74">
        <v>100</v>
      </c>
      <c r="K74">
        <v>95.121949999999998</v>
      </c>
      <c r="L74">
        <v>100</v>
      </c>
      <c r="N74" s="12">
        <f t="shared" si="1"/>
        <v>98.8</v>
      </c>
    </row>
    <row r="75" spans="1:14" x14ac:dyDescent="0.3">
      <c r="A75" s="2" t="s">
        <v>30</v>
      </c>
      <c r="B75" s="5" t="s">
        <v>25</v>
      </c>
      <c r="C75" s="2">
        <v>10000</v>
      </c>
      <c r="D75" s="2" t="s">
        <v>8</v>
      </c>
      <c r="E75" s="2">
        <v>0.01</v>
      </c>
      <c r="F75" s="2">
        <v>1</v>
      </c>
      <c r="G75" s="2" t="s">
        <v>27</v>
      </c>
      <c r="H75" s="2" t="s">
        <v>31</v>
      </c>
      <c r="I75">
        <v>100</v>
      </c>
      <c r="J75">
        <v>100</v>
      </c>
      <c r="K75">
        <v>95.121949999999998</v>
      </c>
      <c r="L75">
        <v>98.941800000000001</v>
      </c>
      <c r="N75" s="33">
        <f t="shared" si="1"/>
        <v>98.5</v>
      </c>
    </row>
    <row r="76" spans="1:14" x14ac:dyDescent="0.3">
      <c r="A76" s="2" t="s">
        <v>30</v>
      </c>
      <c r="B76" s="5" t="s">
        <v>26</v>
      </c>
      <c r="C76" s="2">
        <v>10000</v>
      </c>
      <c r="D76" s="2" t="s">
        <v>8</v>
      </c>
      <c r="E76" s="2">
        <v>0.01</v>
      </c>
      <c r="F76" s="2">
        <v>1</v>
      </c>
      <c r="G76" s="2" t="s">
        <v>27</v>
      </c>
      <c r="H76" s="2" t="s">
        <v>31</v>
      </c>
      <c r="I76">
        <v>100</v>
      </c>
      <c r="J76">
        <v>100</v>
      </c>
      <c r="K76">
        <v>95.121949999999998</v>
      </c>
      <c r="L76">
        <v>99.4709</v>
      </c>
      <c r="N76" s="13">
        <f t="shared" si="1"/>
        <v>98.6</v>
      </c>
    </row>
    <row r="77" spans="1:14" x14ac:dyDescent="0.3">
      <c r="A77" s="2" t="s">
        <v>30</v>
      </c>
      <c r="B77" s="5" t="s">
        <v>28</v>
      </c>
      <c r="C77" s="2">
        <v>10000</v>
      </c>
      <c r="D77" s="2" t="s">
        <v>8</v>
      </c>
      <c r="E77" s="2">
        <v>0.01</v>
      </c>
      <c r="F77" s="2">
        <v>1</v>
      </c>
      <c r="G77" s="2" t="s">
        <v>9</v>
      </c>
      <c r="H77" s="2" t="s">
        <v>31</v>
      </c>
      <c r="I77">
        <v>100</v>
      </c>
      <c r="J77">
        <v>100</v>
      </c>
      <c r="K77">
        <v>12.195119999999999</v>
      </c>
      <c r="L77">
        <v>100</v>
      </c>
      <c r="N77" s="10">
        <f t="shared" si="1"/>
        <v>78</v>
      </c>
    </row>
    <row r="78" spans="1:14" x14ac:dyDescent="0.3">
      <c r="A78" s="2" t="s">
        <v>30</v>
      </c>
      <c r="B78" s="5" t="s">
        <v>7</v>
      </c>
      <c r="C78" s="2">
        <v>10000</v>
      </c>
      <c r="D78" s="2" t="s">
        <v>8</v>
      </c>
      <c r="E78" s="2">
        <v>0.01</v>
      </c>
      <c r="F78" s="2">
        <v>1</v>
      </c>
      <c r="G78" s="2" t="s">
        <v>9</v>
      </c>
      <c r="H78" s="2" t="s">
        <v>31</v>
      </c>
      <c r="I78">
        <v>100</v>
      </c>
      <c r="J78">
        <v>0</v>
      </c>
      <c r="K78">
        <v>0</v>
      </c>
      <c r="L78">
        <v>100</v>
      </c>
      <c r="N78" s="10">
        <f t="shared" si="1"/>
        <v>50</v>
      </c>
    </row>
    <row r="79" spans="1:14" x14ac:dyDescent="0.3">
      <c r="A79" s="2" t="s">
        <v>30</v>
      </c>
      <c r="B79" s="5" t="s">
        <v>14</v>
      </c>
      <c r="C79" s="2">
        <v>10000</v>
      </c>
      <c r="D79" s="2" t="s">
        <v>8</v>
      </c>
      <c r="E79" s="2">
        <v>0.01</v>
      </c>
      <c r="F79" s="2">
        <v>1</v>
      </c>
      <c r="G79" s="2" t="s">
        <v>9</v>
      </c>
      <c r="H79" s="2" t="s">
        <v>31</v>
      </c>
      <c r="I79">
        <v>100</v>
      </c>
      <c r="J79">
        <v>100</v>
      </c>
      <c r="K79">
        <v>95.121949999999998</v>
      </c>
      <c r="L79">
        <v>99.4709</v>
      </c>
      <c r="N79" s="13">
        <f t="shared" si="1"/>
        <v>98.6</v>
      </c>
    </row>
    <row r="80" spans="1:14" x14ac:dyDescent="0.3">
      <c r="A80" s="2" t="s">
        <v>30</v>
      </c>
      <c r="B80" s="5" t="s">
        <v>15</v>
      </c>
      <c r="C80" s="2">
        <v>10000</v>
      </c>
      <c r="D80" s="2" t="s">
        <v>8</v>
      </c>
      <c r="E80" s="2">
        <v>0.01</v>
      </c>
      <c r="F80" s="2">
        <v>1</v>
      </c>
      <c r="G80" s="2" t="s">
        <v>9</v>
      </c>
      <c r="H80" s="2" t="s">
        <v>31</v>
      </c>
      <c r="I80">
        <v>100</v>
      </c>
      <c r="J80">
        <v>100</v>
      </c>
      <c r="K80">
        <v>95.121949999999998</v>
      </c>
      <c r="L80">
        <v>100</v>
      </c>
      <c r="N80" s="12">
        <f t="shared" si="1"/>
        <v>98.8</v>
      </c>
    </row>
    <row r="81" spans="1:14" x14ac:dyDescent="0.3">
      <c r="A81" s="2" t="s">
        <v>30</v>
      </c>
      <c r="B81" s="5" t="s">
        <v>16</v>
      </c>
      <c r="C81" s="2">
        <v>10000</v>
      </c>
      <c r="D81" s="2" t="s">
        <v>8</v>
      </c>
      <c r="E81" s="2">
        <v>0.01</v>
      </c>
      <c r="F81" s="2">
        <v>1</v>
      </c>
      <c r="G81" s="2" t="s">
        <v>9</v>
      </c>
      <c r="H81" s="2" t="s">
        <v>31</v>
      </c>
      <c r="I81">
        <v>100</v>
      </c>
      <c r="J81">
        <v>99.342110000000005</v>
      </c>
      <c r="K81">
        <v>97.560980000000001</v>
      </c>
      <c r="L81">
        <v>96.825400000000002</v>
      </c>
      <c r="N81" s="21">
        <f t="shared" si="1"/>
        <v>98.4</v>
      </c>
    </row>
    <row r="82" spans="1:14" x14ac:dyDescent="0.3">
      <c r="A82" s="2" t="s">
        <v>30</v>
      </c>
      <c r="B82" s="5" t="s">
        <v>17</v>
      </c>
      <c r="C82" s="2">
        <v>10000</v>
      </c>
      <c r="D82" s="2" t="s">
        <v>8</v>
      </c>
      <c r="E82" s="2">
        <v>0.01</v>
      </c>
      <c r="F82" s="2">
        <v>1</v>
      </c>
      <c r="G82" s="2" t="s">
        <v>9</v>
      </c>
      <c r="H82" s="2" t="s">
        <v>31</v>
      </c>
      <c r="I82">
        <v>100</v>
      </c>
      <c r="J82">
        <v>100</v>
      </c>
      <c r="K82">
        <v>95.121949999999998</v>
      </c>
      <c r="L82">
        <v>100</v>
      </c>
      <c r="N82" s="12">
        <f t="shared" si="1"/>
        <v>98.8</v>
      </c>
    </row>
    <row r="83" spans="1:14" x14ac:dyDescent="0.3">
      <c r="A83" s="2" t="s">
        <v>30</v>
      </c>
      <c r="B83" s="5" t="s">
        <v>18</v>
      </c>
      <c r="C83" s="2">
        <v>10000</v>
      </c>
      <c r="D83" s="2" t="s">
        <v>8</v>
      </c>
      <c r="E83" s="2">
        <v>0.01</v>
      </c>
      <c r="F83" s="2">
        <v>1</v>
      </c>
      <c r="G83" s="2" t="s">
        <v>9</v>
      </c>
      <c r="H83" s="2" t="s">
        <v>31</v>
      </c>
      <c r="I83">
        <v>100</v>
      </c>
      <c r="J83">
        <v>100</v>
      </c>
      <c r="K83">
        <v>100</v>
      </c>
      <c r="L83">
        <v>100</v>
      </c>
      <c r="N83" s="37">
        <f t="shared" si="1"/>
        <v>100</v>
      </c>
    </row>
    <row r="84" spans="1:14" x14ac:dyDescent="0.3">
      <c r="A84" s="2" t="s">
        <v>30</v>
      </c>
      <c r="B84" s="5" t="s">
        <v>19</v>
      </c>
      <c r="C84" s="2">
        <v>10000</v>
      </c>
      <c r="D84" s="2" t="s">
        <v>8</v>
      </c>
      <c r="E84" s="2">
        <v>0.01</v>
      </c>
      <c r="F84" s="2">
        <v>1</v>
      </c>
      <c r="G84" s="2" t="s">
        <v>9</v>
      </c>
      <c r="H84" s="2" t="s">
        <v>31</v>
      </c>
      <c r="I84">
        <v>100</v>
      </c>
      <c r="J84">
        <v>100</v>
      </c>
      <c r="K84">
        <v>95.121949999999998</v>
      </c>
      <c r="L84">
        <v>100</v>
      </c>
      <c r="N84" s="12">
        <f t="shared" si="1"/>
        <v>98.8</v>
      </c>
    </row>
    <row r="85" spans="1:14" x14ac:dyDescent="0.3">
      <c r="A85" s="2" t="s">
        <v>30</v>
      </c>
      <c r="B85" s="5" t="s">
        <v>20</v>
      </c>
      <c r="C85" s="2">
        <v>10000</v>
      </c>
      <c r="D85" s="2" t="s">
        <v>8</v>
      </c>
      <c r="E85" s="2">
        <v>0.01</v>
      </c>
      <c r="F85" s="2">
        <v>1</v>
      </c>
      <c r="G85" s="2" t="s">
        <v>9</v>
      </c>
      <c r="H85" s="2" t="s">
        <v>31</v>
      </c>
      <c r="I85">
        <v>100</v>
      </c>
      <c r="J85">
        <v>100</v>
      </c>
      <c r="K85">
        <v>95.121949999999998</v>
      </c>
      <c r="L85">
        <v>99.4709</v>
      </c>
      <c r="N85" s="13">
        <f t="shared" si="1"/>
        <v>98.6</v>
      </c>
    </row>
    <row r="86" spans="1:14" x14ac:dyDescent="0.3">
      <c r="A86" s="2" t="s">
        <v>30</v>
      </c>
      <c r="B86" s="5" t="s">
        <v>21</v>
      </c>
      <c r="C86" s="2">
        <v>10000</v>
      </c>
      <c r="D86" s="2" t="s">
        <v>8</v>
      </c>
      <c r="E86" s="2">
        <v>0.01</v>
      </c>
      <c r="F86" s="2">
        <v>1</v>
      </c>
      <c r="G86" s="2" t="s">
        <v>9</v>
      </c>
      <c r="H86" s="2" t="s">
        <v>31</v>
      </c>
      <c r="I86">
        <v>100</v>
      </c>
      <c r="J86">
        <v>100</v>
      </c>
      <c r="K86">
        <v>95.121949999999998</v>
      </c>
      <c r="L86">
        <v>99.4709</v>
      </c>
      <c r="N86" s="13">
        <f t="shared" si="1"/>
        <v>98.6</v>
      </c>
    </row>
    <row r="87" spans="1:14" x14ac:dyDescent="0.3">
      <c r="A87" s="2" t="s">
        <v>30</v>
      </c>
      <c r="B87" s="5" t="s">
        <v>22</v>
      </c>
      <c r="C87" s="2">
        <v>10000</v>
      </c>
      <c r="D87" s="2" t="s">
        <v>8</v>
      </c>
      <c r="E87" s="2">
        <v>0.01</v>
      </c>
      <c r="F87" s="2">
        <v>1</v>
      </c>
      <c r="G87" s="2" t="s">
        <v>9</v>
      </c>
      <c r="H87" s="2" t="s">
        <v>31</v>
      </c>
      <c r="I87">
        <v>100</v>
      </c>
      <c r="J87">
        <v>100</v>
      </c>
      <c r="K87">
        <v>95.121949999999998</v>
      </c>
      <c r="L87">
        <v>100</v>
      </c>
      <c r="N87" s="12">
        <f t="shared" si="1"/>
        <v>98.8</v>
      </c>
    </row>
    <row r="88" spans="1:14" x14ac:dyDescent="0.3">
      <c r="A88" s="2" t="s">
        <v>30</v>
      </c>
      <c r="B88" s="5" t="s">
        <v>23</v>
      </c>
      <c r="C88" s="2">
        <v>10000</v>
      </c>
      <c r="D88" s="2" t="s">
        <v>8</v>
      </c>
      <c r="E88" s="2">
        <v>0.01</v>
      </c>
      <c r="F88" s="2">
        <v>1</v>
      </c>
      <c r="G88" s="2" t="s">
        <v>9</v>
      </c>
      <c r="H88" s="2" t="s">
        <v>31</v>
      </c>
      <c r="I88">
        <v>100</v>
      </c>
      <c r="J88">
        <v>100</v>
      </c>
      <c r="K88">
        <v>95.121949999999998</v>
      </c>
      <c r="L88">
        <v>99.4709</v>
      </c>
      <c r="N88" s="13">
        <f t="shared" si="1"/>
        <v>98.6</v>
      </c>
    </row>
    <row r="89" spans="1:14" x14ac:dyDescent="0.3">
      <c r="A89" s="2" t="s">
        <v>30</v>
      </c>
      <c r="B89" s="5" t="s">
        <v>24</v>
      </c>
      <c r="C89" s="2">
        <v>10000</v>
      </c>
      <c r="D89" s="2" t="s">
        <v>8</v>
      </c>
      <c r="E89" s="2">
        <v>0.01</v>
      </c>
      <c r="F89" s="2">
        <v>1</v>
      </c>
      <c r="G89" s="2" t="s">
        <v>9</v>
      </c>
      <c r="H89" s="2" t="s">
        <v>31</v>
      </c>
      <c r="I89">
        <v>100</v>
      </c>
      <c r="J89">
        <v>100</v>
      </c>
      <c r="K89">
        <v>95.121949999999998</v>
      </c>
      <c r="L89">
        <v>99.4709</v>
      </c>
      <c r="N89" s="13">
        <f t="shared" si="1"/>
        <v>98.6</v>
      </c>
    </row>
    <row r="90" spans="1:14" x14ac:dyDescent="0.3">
      <c r="A90" s="2" t="s">
        <v>30</v>
      </c>
      <c r="B90" s="5" t="s">
        <v>25</v>
      </c>
      <c r="C90" s="2">
        <v>10000</v>
      </c>
      <c r="D90" s="2" t="s">
        <v>8</v>
      </c>
      <c r="E90" s="2">
        <v>0.01</v>
      </c>
      <c r="F90" s="2">
        <v>1</v>
      </c>
      <c r="G90" s="2" t="s">
        <v>9</v>
      </c>
      <c r="H90" s="2" t="s">
        <v>31</v>
      </c>
      <c r="I90">
        <v>100</v>
      </c>
      <c r="J90">
        <v>100</v>
      </c>
      <c r="K90">
        <v>95.121949999999998</v>
      </c>
      <c r="L90">
        <v>99.4709</v>
      </c>
      <c r="N90" s="13">
        <f t="shared" si="1"/>
        <v>98.6</v>
      </c>
    </row>
    <row r="91" spans="1:14" x14ac:dyDescent="0.3">
      <c r="A91" s="2" t="s">
        <v>30</v>
      </c>
      <c r="B91" s="5" t="s">
        <v>26</v>
      </c>
      <c r="C91" s="2">
        <v>10000</v>
      </c>
      <c r="D91" s="2" t="s">
        <v>8</v>
      </c>
      <c r="E91" s="2">
        <v>0.01</v>
      </c>
      <c r="F91" s="2">
        <v>1</v>
      </c>
      <c r="G91" s="2" t="s">
        <v>9</v>
      </c>
      <c r="H91" s="2" t="s">
        <v>31</v>
      </c>
      <c r="I91">
        <v>100</v>
      </c>
      <c r="J91">
        <v>100</v>
      </c>
      <c r="K91">
        <v>95.121949999999998</v>
      </c>
      <c r="L91">
        <v>99.4709</v>
      </c>
      <c r="N91" s="13">
        <f t="shared" si="1"/>
        <v>98.6</v>
      </c>
    </row>
    <row r="92" spans="1:14" x14ac:dyDescent="0.3">
      <c r="A92" s="2" t="s">
        <v>33</v>
      </c>
      <c r="B92" s="5" t="s">
        <v>28</v>
      </c>
      <c r="C92" s="2">
        <v>10000</v>
      </c>
      <c r="D92" s="2" t="s">
        <v>8</v>
      </c>
      <c r="E92" s="2">
        <v>0.01</v>
      </c>
      <c r="F92" s="2">
        <v>1</v>
      </c>
      <c r="G92" s="2" t="s">
        <v>27</v>
      </c>
      <c r="H92" s="2" t="s">
        <v>31</v>
      </c>
      <c r="I92">
        <v>100</v>
      </c>
      <c r="J92">
        <v>100</v>
      </c>
      <c r="K92">
        <v>97.560980000000001</v>
      </c>
      <c r="L92">
        <v>92.553190000000001</v>
      </c>
      <c r="N92" s="26">
        <f t="shared" si="1"/>
        <v>97.5</v>
      </c>
    </row>
    <row r="93" spans="1:14" x14ac:dyDescent="0.3">
      <c r="A93" s="2" t="s">
        <v>33</v>
      </c>
      <c r="B93" s="5" t="s">
        <v>7</v>
      </c>
      <c r="C93" s="2">
        <v>10000</v>
      </c>
      <c r="D93" s="2" t="s">
        <v>8</v>
      </c>
      <c r="E93" s="2">
        <v>0.01</v>
      </c>
      <c r="F93" s="2">
        <v>1</v>
      </c>
      <c r="G93" s="2" t="s">
        <v>27</v>
      </c>
      <c r="H93" s="2" t="s">
        <v>31</v>
      </c>
      <c r="I93">
        <v>100</v>
      </c>
      <c r="J93">
        <v>98.6755</v>
      </c>
      <c r="K93">
        <v>95.121949999999998</v>
      </c>
      <c r="L93">
        <v>95.212770000000006</v>
      </c>
      <c r="N93" s="18">
        <f t="shared" si="1"/>
        <v>97.3</v>
      </c>
    </row>
    <row r="94" spans="1:14" x14ac:dyDescent="0.3">
      <c r="A94" s="2" t="s">
        <v>33</v>
      </c>
      <c r="B94" s="5" t="s">
        <v>14</v>
      </c>
      <c r="C94" s="2">
        <v>10000</v>
      </c>
      <c r="D94" s="2" t="s">
        <v>8</v>
      </c>
      <c r="E94" s="2">
        <v>0.01</v>
      </c>
      <c r="F94" s="2">
        <v>1</v>
      </c>
      <c r="G94" s="2" t="s">
        <v>27</v>
      </c>
      <c r="H94" s="2" t="s">
        <v>31</v>
      </c>
      <c r="I94">
        <v>100</v>
      </c>
      <c r="J94">
        <v>98.6755</v>
      </c>
      <c r="K94">
        <v>90.243899999999996</v>
      </c>
      <c r="L94">
        <v>95.744680000000002</v>
      </c>
      <c r="N94" s="38">
        <f t="shared" si="1"/>
        <v>96.2</v>
      </c>
    </row>
    <row r="95" spans="1:14" x14ac:dyDescent="0.3">
      <c r="A95" s="2" t="s">
        <v>33</v>
      </c>
      <c r="B95" s="5" t="s">
        <v>15</v>
      </c>
      <c r="C95" s="2">
        <v>10000</v>
      </c>
      <c r="D95" s="2" t="s">
        <v>8</v>
      </c>
      <c r="E95" s="2">
        <v>0.01</v>
      </c>
      <c r="F95" s="2">
        <v>1</v>
      </c>
      <c r="G95" s="2" t="s">
        <v>27</v>
      </c>
      <c r="H95" s="2" t="s">
        <v>31</v>
      </c>
      <c r="I95">
        <v>100</v>
      </c>
      <c r="J95">
        <v>98.013249999999999</v>
      </c>
      <c r="K95">
        <v>95.121949999999998</v>
      </c>
      <c r="L95">
        <v>95.212770000000006</v>
      </c>
      <c r="N95" s="39">
        <f t="shared" si="1"/>
        <v>97.1</v>
      </c>
    </row>
    <row r="96" spans="1:14" x14ac:dyDescent="0.3">
      <c r="A96" s="2" t="s">
        <v>33</v>
      </c>
      <c r="B96" s="5" t="s">
        <v>16</v>
      </c>
      <c r="C96" s="2">
        <v>10000</v>
      </c>
      <c r="D96" s="2" t="s">
        <v>8</v>
      </c>
      <c r="E96" s="2">
        <v>0.01</v>
      </c>
      <c r="F96" s="2">
        <v>1</v>
      </c>
      <c r="G96" s="2" t="s">
        <v>27</v>
      </c>
      <c r="H96" s="2" t="s">
        <v>31</v>
      </c>
      <c r="I96">
        <v>100</v>
      </c>
      <c r="J96">
        <v>98.6755</v>
      </c>
      <c r="K96">
        <v>92.682929999999999</v>
      </c>
      <c r="L96">
        <v>98.936170000000004</v>
      </c>
      <c r="N96" s="17">
        <f t="shared" si="1"/>
        <v>97.6</v>
      </c>
    </row>
    <row r="97" spans="1:14" x14ac:dyDescent="0.3">
      <c r="A97" s="2" t="s">
        <v>33</v>
      </c>
      <c r="B97" s="5" t="s">
        <v>17</v>
      </c>
      <c r="C97" s="2">
        <v>10000</v>
      </c>
      <c r="D97" s="2" t="s">
        <v>8</v>
      </c>
      <c r="E97" s="2">
        <v>0.01</v>
      </c>
      <c r="F97" s="2">
        <v>1</v>
      </c>
      <c r="G97" s="2" t="s">
        <v>27</v>
      </c>
      <c r="H97" s="2" t="s">
        <v>31</v>
      </c>
      <c r="I97">
        <v>100</v>
      </c>
      <c r="J97">
        <v>98.6755</v>
      </c>
      <c r="K97">
        <v>95.121949999999998</v>
      </c>
      <c r="L97">
        <v>99.468090000000004</v>
      </c>
      <c r="N97" s="27">
        <f t="shared" si="1"/>
        <v>98.3</v>
      </c>
    </row>
    <row r="98" spans="1:14" x14ac:dyDescent="0.3">
      <c r="A98" s="2" t="s">
        <v>33</v>
      </c>
      <c r="B98" s="5" t="s">
        <v>18</v>
      </c>
      <c r="C98" s="2">
        <v>10000</v>
      </c>
      <c r="D98" s="2" t="s">
        <v>8</v>
      </c>
      <c r="E98" s="2">
        <v>0.01</v>
      </c>
      <c r="F98" s="2">
        <v>1</v>
      </c>
      <c r="G98" s="2" t="s">
        <v>27</v>
      </c>
      <c r="H98" s="2" t="s">
        <v>31</v>
      </c>
      <c r="I98">
        <v>100</v>
      </c>
      <c r="J98">
        <v>98.6755</v>
      </c>
      <c r="K98">
        <v>90.243899999999996</v>
      </c>
      <c r="L98">
        <v>97.872339999999994</v>
      </c>
      <c r="N98" s="40">
        <f t="shared" si="1"/>
        <v>96.7</v>
      </c>
    </row>
    <row r="99" spans="1:14" x14ac:dyDescent="0.3">
      <c r="A99" s="2" t="s">
        <v>33</v>
      </c>
      <c r="B99" s="5" t="s">
        <v>19</v>
      </c>
      <c r="C99" s="2">
        <v>10000</v>
      </c>
      <c r="D99" s="2" t="s">
        <v>8</v>
      </c>
      <c r="E99" s="2">
        <v>0.01</v>
      </c>
      <c r="F99" s="2">
        <v>1</v>
      </c>
      <c r="G99" s="2" t="s">
        <v>27</v>
      </c>
      <c r="H99" s="2" t="s">
        <v>31</v>
      </c>
      <c r="I99">
        <v>100</v>
      </c>
      <c r="J99">
        <v>98.6755</v>
      </c>
      <c r="K99">
        <v>87.804879999999997</v>
      </c>
      <c r="L99">
        <v>97.872339999999994</v>
      </c>
      <c r="N99" s="41">
        <f t="shared" si="1"/>
        <v>96.1</v>
      </c>
    </row>
    <row r="100" spans="1:14" x14ac:dyDescent="0.3">
      <c r="A100" s="2" t="s">
        <v>33</v>
      </c>
      <c r="B100" s="5" t="s">
        <v>20</v>
      </c>
      <c r="C100" s="2">
        <v>10000</v>
      </c>
      <c r="D100" s="2" t="s">
        <v>8</v>
      </c>
      <c r="E100" s="2">
        <v>0.01</v>
      </c>
      <c r="F100" s="2">
        <v>1</v>
      </c>
      <c r="G100" s="2" t="s">
        <v>27</v>
      </c>
      <c r="H100" s="2" t="s">
        <v>31</v>
      </c>
      <c r="I100">
        <v>100</v>
      </c>
      <c r="J100">
        <v>98.6755</v>
      </c>
      <c r="K100">
        <v>90.243899999999996</v>
      </c>
      <c r="L100">
        <v>98.936170000000004</v>
      </c>
      <c r="N100" s="42">
        <f t="shared" si="1"/>
        <v>97</v>
      </c>
    </row>
    <row r="101" spans="1:14" x14ac:dyDescent="0.3">
      <c r="A101" s="2" t="s">
        <v>33</v>
      </c>
      <c r="B101" s="5" t="s">
        <v>21</v>
      </c>
      <c r="C101" s="2">
        <v>10000</v>
      </c>
      <c r="D101" s="2" t="s">
        <v>8</v>
      </c>
      <c r="E101" s="2">
        <v>0.01</v>
      </c>
      <c r="F101" s="2">
        <v>1</v>
      </c>
      <c r="G101" s="2" t="s">
        <v>27</v>
      </c>
      <c r="H101" s="2" t="s">
        <v>31</v>
      </c>
      <c r="I101">
        <v>100</v>
      </c>
      <c r="J101">
        <v>98.6755</v>
      </c>
      <c r="K101">
        <v>95.121949999999998</v>
      </c>
      <c r="L101">
        <v>97.872339999999994</v>
      </c>
      <c r="N101" s="28">
        <f t="shared" si="1"/>
        <v>97.9</v>
      </c>
    </row>
    <row r="102" spans="1:14" x14ac:dyDescent="0.3">
      <c r="A102" s="2" t="s">
        <v>33</v>
      </c>
      <c r="B102" s="5" t="s">
        <v>22</v>
      </c>
      <c r="C102" s="2">
        <v>10000</v>
      </c>
      <c r="D102" s="2" t="s">
        <v>8</v>
      </c>
      <c r="E102" s="2">
        <v>0.01</v>
      </c>
      <c r="F102" s="2">
        <v>1</v>
      </c>
      <c r="G102" s="2" t="s">
        <v>27</v>
      </c>
      <c r="H102" s="2" t="s">
        <v>31</v>
      </c>
      <c r="I102">
        <v>100</v>
      </c>
      <c r="J102">
        <v>98.6755</v>
      </c>
      <c r="K102">
        <v>92.682929999999999</v>
      </c>
      <c r="L102">
        <v>98.936170000000004</v>
      </c>
      <c r="N102" s="17">
        <f t="shared" si="1"/>
        <v>97.6</v>
      </c>
    </row>
    <row r="103" spans="1:14" x14ac:dyDescent="0.3">
      <c r="A103" s="2" t="s">
        <v>33</v>
      </c>
      <c r="B103" s="5" t="s">
        <v>23</v>
      </c>
      <c r="C103" s="2">
        <v>10000</v>
      </c>
      <c r="D103" s="2" t="s">
        <v>8</v>
      </c>
      <c r="E103" s="2">
        <v>0.01</v>
      </c>
      <c r="F103" s="2">
        <v>1</v>
      </c>
      <c r="G103" s="2" t="s">
        <v>27</v>
      </c>
      <c r="H103" s="2" t="s">
        <v>31</v>
      </c>
      <c r="I103">
        <v>100</v>
      </c>
      <c r="J103">
        <v>100</v>
      </c>
      <c r="K103">
        <v>95.121949999999998</v>
      </c>
      <c r="L103">
        <v>99.468090000000004</v>
      </c>
      <c r="N103" s="13">
        <f t="shared" si="1"/>
        <v>98.6</v>
      </c>
    </row>
    <row r="104" spans="1:14" x14ac:dyDescent="0.3">
      <c r="A104" s="2" t="s">
        <v>33</v>
      </c>
      <c r="B104" s="5" t="s">
        <v>24</v>
      </c>
      <c r="C104" s="2">
        <v>10000</v>
      </c>
      <c r="D104" s="2" t="s">
        <v>8</v>
      </c>
      <c r="E104" s="2">
        <v>0.01</v>
      </c>
      <c r="F104" s="2">
        <v>1</v>
      </c>
      <c r="G104" s="2" t="s">
        <v>27</v>
      </c>
      <c r="H104" s="2" t="s">
        <v>31</v>
      </c>
      <c r="I104">
        <v>100</v>
      </c>
      <c r="J104">
        <v>99.33775</v>
      </c>
      <c r="K104">
        <v>95.121949999999998</v>
      </c>
      <c r="L104">
        <v>98.404259999999994</v>
      </c>
      <c r="N104" s="36">
        <f t="shared" si="1"/>
        <v>98.2</v>
      </c>
    </row>
    <row r="105" spans="1:14" x14ac:dyDescent="0.3">
      <c r="A105" s="2" t="s">
        <v>33</v>
      </c>
      <c r="B105" s="5" t="s">
        <v>25</v>
      </c>
      <c r="C105" s="2">
        <v>10000</v>
      </c>
      <c r="D105" s="2" t="s">
        <v>8</v>
      </c>
      <c r="E105" s="2">
        <v>0.01</v>
      </c>
      <c r="F105" s="2">
        <v>1</v>
      </c>
      <c r="G105" s="2" t="s">
        <v>27</v>
      </c>
      <c r="H105" s="2" t="s">
        <v>31</v>
      </c>
      <c r="I105">
        <v>100</v>
      </c>
      <c r="J105">
        <v>98.6755</v>
      </c>
      <c r="K105">
        <v>92.682929999999999</v>
      </c>
      <c r="L105">
        <v>97.872339999999994</v>
      </c>
      <c r="N105" s="18">
        <f t="shared" si="1"/>
        <v>97.3</v>
      </c>
    </row>
    <row r="106" spans="1:14" x14ac:dyDescent="0.3">
      <c r="A106" s="2" t="s">
        <v>33</v>
      </c>
      <c r="B106" s="5" t="s">
        <v>26</v>
      </c>
      <c r="C106" s="2">
        <v>10000</v>
      </c>
      <c r="D106" s="2" t="s">
        <v>8</v>
      </c>
      <c r="E106" s="2">
        <v>0.01</v>
      </c>
      <c r="F106" s="2">
        <v>1</v>
      </c>
      <c r="G106" s="2" t="s">
        <v>27</v>
      </c>
      <c r="H106" s="2" t="s">
        <v>31</v>
      </c>
      <c r="I106">
        <v>100</v>
      </c>
      <c r="J106">
        <v>99.33775</v>
      </c>
      <c r="K106">
        <v>92.682929999999999</v>
      </c>
      <c r="L106">
        <v>98.936170000000004</v>
      </c>
      <c r="N106" s="43">
        <f t="shared" si="1"/>
        <v>97.7</v>
      </c>
    </row>
    <row r="107" spans="1:14" x14ac:dyDescent="0.3">
      <c r="A107" s="2" t="s">
        <v>33</v>
      </c>
      <c r="B107" s="5" t="s">
        <v>28</v>
      </c>
      <c r="C107" s="2">
        <v>10000</v>
      </c>
      <c r="D107" s="2" t="s">
        <v>8</v>
      </c>
      <c r="E107" s="2">
        <v>0.01</v>
      </c>
      <c r="F107" s="2">
        <v>1</v>
      </c>
      <c r="G107" s="2" t="s">
        <v>9</v>
      </c>
      <c r="H107" s="2" t="s">
        <v>31</v>
      </c>
      <c r="I107">
        <v>100</v>
      </c>
      <c r="J107">
        <v>100</v>
      </c>
      <c r="K107">
        <v>4.87805</v>
      </c>
      <c r="L107">
        <v>97.340429999999998</v>
      </c>
      <c r="N107" s="10">
        <f t="shared" si="1"/>
        <v>75.599999999999994</v>
      </c>
    </row>
    <row r="108" spans="1:14" x14ac:dyDescent="0.3">
      <c r="A108" s="2" t="s">
        <v>33</v>
      </c>
      <c r="B108" s="5" t="s">
        <v>7</v>
      </c>
      <c r="C108" s="2">
        <v>10000</v>
      </c>
      <c r="D108" s="2" t="s">
        <v>8</v>
      </c>
      <c r="E108" s="2">
        <v>0.01</v>
      </c>
      <c r="F108" s="2">
        <v>1</v>
      </c>
      <c r="G108" s="2" t="s">
        <v>9</v>
      </c>
      <c r="H108" s="2" t="s">
        <v>31</v>
      </c>
      <c r="I108">
        <v>100</v>
      </c>
      <c r="J108">
        <v>0</v>
      </c>
      <c r="K108">
        <v>0</v>
      </c>
      <c r="L108">
        <v>98.936170000000004</v>
      </c>
      <c r="N108" s="10">
        <f t="shared" si="1"/>
        <v>49.7</v>
      </c>
    </row>
    <row r="109" spans="1:14" x14ac:dyDescent="0.3">
      <c r="A109" s="2" t="s">
        <v>33</v>
      </c>
      <c r="B109" s="5" t="s">
        <v>14</v>
      </c>
      <c r="C109" s="2">
        <v>10000</v>
      </c>
      <c r="D109" s="2" t="s">
        <v>8</v>
      </c>
      <c r="E109" s="2">
        <v>0.01</v>
      </c>
      <c r="F109" s="2">
        <v>1</v>
      </c>
      <c r="G109" s="2" t="s">
        <v>9</v>
      </c>
      <c r="H109" s="2" t="s">
        <v>31</v>
      </c>
      <c r="I109">
        <v>100</v>
      </c>
      <c r="J109">
        <v>99.33775</v>
      </c>
      <c r="K109">
        <v>92.682929999999999</v>
      </c>
      <c r="L109">
        <v>99.468090000000004</v>
      </c>
      <c r="N109" s="28">
        <f t="shared" si="1"/>
        <v>97.9</v>
      </c>
    </row>
    <row r="110" spans="1:14" x14ac:dyDescent="0.3">
      <c r="A110" s="2" t="s">
        <v>33</v>
      </c>
      <c r="B110" s="5" t="s">
        <v>15</v>
      </c>
      <c r="C110" s="2">
        <v>10000</v>
      </c>
      <c r="D110" s="2" t="s">
        <v>8</v>
      </c>
      <c r="E110" s="2">
        <v>0.01</v>
      </c>
      <c r="F110" s="2">
        <v>1</v>
      </c>
      <c r="G110" s="2" t="s">
        <v>9</v>
      </c>
      <c r="H110" s="2" t="s">
        <v>31</v>
      </c>
      <c r="I110">
        <v>100</v>
      </c>
      <c r="J110">
        <v>100</v>
      </c>
      <c r="K110">
        <v>95.121949999999998</v>
      </c>
      <c r="L110">
        <v>96.808509999999998</v>
      </c>
      <c r="N110" s="44">
        <f t="shared" si="1"/>
        <v>98</v>
      </c>
    </row>
    <row r="111" spans="1:14" x14ac:dyDescent="0.3">
      <c r="A111" s="2" t="s">
        <v>33</v>
      </c>
      <c r="B111" s="5" t="s">
        <v>16</v>
      </c>
      <c r="C111" s="2">
        <v>10000</v>
      </c>
      <c r="D111" s="2" t="s">
        <v>8</v>
      </c>
      <c r="E111" s="2">
        <v>0.01</v>
      </c>
      <c r="F111" s="2">
        <v>1</v>
      </c>
      <c r="G111" s="2" t="s">
        <v>9</v>
      </c>
      <c r="H111" s="2" t="s">
        <v>31</v>
      </c>
      <c r="I111">
        <v>100</v>
      </c>
      <c r="J111">
        <v>98.6755</v>
      </c>
      <c r="K111">
        <v>92.682929999999999</v>
      </c>
      <c r="L111">
        <v>96.808509999999998</v>
      </c>
      <c r="N111" s="42">
        <f t="shared" si="1"/>
        <v>97</v>
      </c>
    </row>
    <row r="112" spans="1:14" x14ac:dyDescent="0.3">
      <c r="A112" s="2" t="s">
        <v>33</v>
      </c>
      <c r="B112" s="5" t="s">
        <v>17</v>
      </c>
      <c r="C112" s="2">
        <v>10000</v>
      </c>
      <c r="D112" s="2" t="s">
        <v>8</v>
      </c>
      <c r="E112" s="2">
        <v>0.01</v>
      </c>
      <c r="F112" s="2">
        <v>1</v>
      </c>
      <c r="G112" s="2" t="s">
        <v>9</v>
      </c>
      <c r="H112" s="2" t="s">
        <v>31</v>
      </c>
      <c r="I112">
        <v>100</v>
      </c>
      <c r="J112">
        <v>98.6755</v>
      </c>
      <c r="K112">
        <v>92.682929999999999</v>
      </c>
      <c r="L112">
        <v>99.468090000000004</v>
      </c>
      <c r="N112" s="43">
        <f t="shared" si="1"/>
        <v>97.7</v>
      </c>
    </row>
    <row r="113" spans="1:14" x14ac:dyDescent="0.3">
      <c r="A113" s="2" t="s">
        <v>33</v>
      </c>
      <c r="B113" s="5" t="s">
        <v>18</v>
      </c>
      <c r="C113" s="2">
        <v>10000</v>
      </c>
      <c r="D113" s="2" t="s">
        <v>8</v>
      </c>
      <c r="E113" s="2">
        <v>0.01</v>
      </c>
      <c r="F113" s="2">
        <v>1</v>
      </c>
      <c r="G113" s="2" t="s">
        <v>9</v>
      </c>
      <c r="H113" s="2" t="s">
        <v>31</v>
      </c>
      <c r="I113">
        <v>100</v>
      </c>
      <c r="J113">
        <v>98.6755</v>
      </c>
      <c r="K113">
        <v>92.682929999999999</v>
      </c>
      <c r="L113">
        <v>98.936170000000004</v>
      </c>
      <c r="N113" s="17">
        <f t="shared" si="1"/>
        <v>97.6</v>
      </c>
    </row>
    <row r="114" spans="1:14" x14ac:dyDescent="0.3">
      <c r="A114" s="2" t="s">
        <v>33</v>
      </c>
      <c r="B114" s="5" t="s">
        <v>19</v>
      </c>
      <c r="C114" s="2">
        <v>10000</v>
      </c>
      <c r="D114" s="2" t="s">
        <v>8</v>
      </c>
      <c r="E114" s="2">
        <v>0.01</v>
      </c>
      <c r="F114" s="2">
        <v>1</v>
      </c>
      <c r="G114" s="2" t="s">
        <v>9</v>
      </c>
      <c r="H114" s="2" t="s">
        <v>31</v>
      </c>
      <c r="I114">
        <v>100</v>
      </c>
      <c r="J114">
        <v>100</v>
      </c>
      <c r="K114">
        <v>95.121949999999998</v>
      </c>
      <c r="L114">
        <v>98.936170000000004</v>
      </c>
      <c r="N114" s="33">
        <f t="shared" si="1"/>
        <v>98.5</v>
      </c>
    </row>
    <row r="115" spans="1:14" x14ac:dyDescent="0.3">
      <c r="A115" s="2" t="s">
        <v>33</v>
      </c>
      <c r="B115" s="5" t="s">
        <v>20</v>
      </c>
      <c r="C115" s="2">
        <v>10000</v>
      </c>
      <c r="D115" s="2" t="s">
        <v>8</v>
      </c>
      <c r="E115" s="2">
        <v>0.01</v>
      </c>
      <c r="F115" s="2">
        <v>1</v>
      </c>
      <c r="G115" s="2" t="s">
        <v>9</v>
      </c>
      <c r="H115" s="2" t="s">
        <v>31</v>
      </c>
      <c r="I115">
        <v>100</v>
      </c>
      <c r="J115">
        <v>98.6755</v>
      </c>
      <c r="K115">
        <v>95.121949999999998</v>
      </c>
      <c r="L115">
        <v>98.936170000000004</v>
      </c>
      <c r="N115" s="36">
        <f t="shared" si="1"/>
        <v>98.2</v>
      </c>
    </row>
    <row r="116" spans="1:14" x14ac:dyDescent="0.3">
      <c r="A116" s="2" t="s">
        <v>33</v>
      </c>
      <c r="B116" s="5" t="s">
        <v>21</v>
      </c>
      <c r="C116" s="2">
        <v>10000</v>
      </c>
      <c r="D116" s="2" t="s">
        <v>8</v>
      </c>
      <c r="E116" s="2">
        <v>0.01</v>
      </c>
      <c r="F116" s="2">
        <v>1</v>
      </c>
      <c r="G116" s="2" t="s">
        <v>9</v>
      </c>
      <c r="H116" s="2" t="s">
        <v>31</v>
      </c>
      <c r="I116">
        <v>100</v>
      </c>
      <c r="J116">
        <v>100</v>
      </c>
      <c r="K116">
        <v>92.682929999999999</v>
      </c>
      <c r="L116">
        <v>99.468090000000004</v>
      </c>
      <c r="N116" s="44">
        <f t="shared" si="1"/>
        <v>98</v>
      </c>
    </row>
    <row r="117" spans="1:14" x14ac:dyDescent="0.3">
      <c r="A117" s="2" t="s">
        <v>33</v>
      </c>
      <c r="B117" s="5" t="s">
        <v>22</v>
      </c>
      <c r="C117" s="2">
        <v>10000</v>
      </c>
      <c r="D117" s="2" t="s">
        <v>8</v>
      </c>
      <c r="E117" s="2">
        <v>0.01</v>
      </c>
      <c r="F117" s="2">
        <v>1</v>
      </c>
      <c r="G117" s="2" t="s">
        <v>9</v>
      </c>
      <c r="H117" s="2" t="s">
        <v>31</v>
      </c>
      <c r="I117">
        <v>100</v>
      </c>
      <c r="J117">
        <v>100</v>
      </c>
      <c r="K117">
        <v>92.682929999999999</v>
      </c>
      <c r="L117">
        <v>99.468090000000004</v>
      </c>
      <c r="N117" s="44">
        <f t="shared" si="1"/>
        <v>98</v>
      </c>
    </row>
    <row r="118" spans="1:14" x14ac:dyDescent="0.3">
      <c r="A118" s="2" t="s">
        <v>33</v>
      </c>
      <c r="B118" s="5" t="s">
        <v>23</v>
      </c>
      <c r="C118" s="2">
        <v>10000</v>
      </c>
      <c r="D118" s="2" t="s">
        <v>8</v>
      </c>
      <c r="E118" s="2">
        <v>0.01</v>
      </c>
      <c r="F118" s="2">
        <v>1</v>
      </c>
      <c r="G118" s="2" t="s">
        <v>9</v>
      </c>
      <c r="H118" s="2" t="s">
        <v>31</v>
      </c>
      <c r="I118">
        <v>100</v>
      </c>
      <c r="J118">
        <v>100</v>
      </c>
      <c r="K118">
        <v>90.243899999999996</v>
      </c>
      <c r="L118">
        <v>98.404259999999994</v>
      </c>
      <c r="N118" s="19">
        <f t="shared" si="1"/>
        <v>97.2</v>
      </c>
    </row>
    <row r="119" spans="1:14" x14ac:dyDescent="0.3">
      <c r="A119" s="2" t="s">
        <v>33</v>
      </c>
      <c r="B119" s="5" t="s">
        <v>24</v>
      </c>
      <c r="C119" s="2">
        <v>10000</v>
      </c>
      <c r="D119" s="2" t="s">
        <v>8</v>
      </c>
      <c r="E119" s="2">
        <v>0.01</v>
      </c>
      <c r="F119" s="2">
        <v>1</v>
      </c>
      <c r="G119" s="2" t="s">
        <v>9</v>
      </c>
      <c r="H119" s="2" t="s">
        <v>31</v>
      </c>
      <c r="I119">
        <v>100</v>
      </c>
      <c r="J119">
        <v>98.6755</v>
      </c>
      <c r="K119">
        <v>92.682929999999999</v>
      </c>
      <c r="L119">
        <v>98.404259999999994</v>
      </c>
      <c r="N119" s="45">
        <f t="shared" si="1"/>
        <v>97.4</v>
      </c>
    </row>
    <row r="120" spans="1:14" x14ac:dyDescent="0.3">
      <c r="A120" s="2" t="s">
        <v>33</v>
      </c>
      <c r="B120" s="5" t="s">
        <v>25</v>
      </c>
      <c r="C120" s="2">
        <v>10000</v>
      </c>
      <c r="D120" s="2" t="s">
        <v>8</v>
      </c>
      <c r="E120" s="2">
        <v>0.01</v>
      </c>
      <c r="F120" s="2">
        <v>1</v>
      </c>
      <c r="G120" s="2" t="s">
        <v>9</v>
      </c>
      <c r="H120" s="2" t="s">
        <v>31</v>
      </c>
      <c r="I120">
        <v>100</v>
      </c>
      <c r="J120">
        <v>98.6755</v>
      </c>
      <c r="K120">
        <v>92.682929999999999</v>
      </c>
      <c r="L120">
        <v>98.936170000000004</v>
      </c>
      <c r="N120" s="17">
        <f t="shared" si="1"/>
        <v>97.6</v>
      </c>
    </row>
    <row r="121" spans="1:14" x14ac:dyDescent="0.3">
      <c r="A121" s="2" t="s">
        <v>33</v>
      </c>
      <c r="B121" s="5" t="s">
        <v>26</v>
      </c>
      <c r="C121" s="2">
        <v>10000</v>
      </c>
      <c r="D121" s="2" t="s">
        <v>8</v>
      </c>
      <c r="E121" s="2">
        <v>0.01</v>
      </c>
      <c r="F121" s="2">
        <v>1</v>
      </c>
      <c r="G121" s="2" t="s">
        <v>9</v>
      </c>
      <c r="H121" s="2" t="s">
        <v>31</v>
      </c>
      <c r="I121">
        <v>100</v>
      </c>
      <c r="J121">
        <v>98.6755</v>
      </c>
      <c r="K121">
        <v>92.682929999999999</v>
      </c>
      <c r="L121">
        <v>98.936170000000004</v>
      </c>
      <c r="N121" s="17">
        <f t="shared" si="1"/>
        <v>97.6</v>
      </c>
    </row>
  </sheetData>
  <mergeCells count="3">
    <mergeCell ref="R7:R8"/>
    <mergeCell ref="R9:R10"/>
    <mergeCell ref="T5:V5"/>
  </mergeCells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E0F5-2E3C-4A36-B577-CF6A24D1BB0A}">
  <sheetPr codeName="Sheet2"/>
  <dimension ref="A1:H21"/>
  <sheetViews>
    <sheetView topLeftCell="A2" workbookViewId="0">
      <selection activeCell="E17" sqref="E17"/>
    </sheetView>
  </sheetViews>
  <sheetFormatPr defaultRowHeight="14.4" x14ac:dyDescent="0.3"/>
  <cols>
    <col min="1" max="1" width="27.44140625" customWidth="1"/>
    <col min="2" max="2" width="25.5546875" customWidth="1"/>
    <col min="3" max="3" width="25.109375" customWidth="1"/>
    <col min="4" max="4" width="26" customWidth="1"/>
    <col min="5" max="5" width="26.77734375" customWidth="1"/>
    <col min="6" max="6" width="25.6640625" customWidth="1"/>
    <col min="7" max="7" width="25" customWidth="1"/>
    <col min="8" max="8" width="21.88671875" customWidth="1"/>
  </cols>
  <sheetData>
    <row r="1" spans="1:8" x14ac:dyDescent="0.3">
      <c r="A1" t="s">
        <v>34</v>
      </c>
      <c r="C1" t="s">
        <v>37</v>
      </c>
      <c r="E1" t="s">
        <v>38</v>
      </c>
      <c r="G1" t="s">
        <v>39</v>
      </c>
    </row>
    <row r="2" spans="1:8" x14ac:dyDescent="0.3">
      <c r="A2" t="s">
        <v>35</v>
      </c>
      <c r="B2" t="s">
        <v>36</v>
      </c>
      <c r="C2" t="s">
        <v>35</v>
      </c>
      <c r="D2" t="s">
        <v>36</v>
      </c>
      <c r="E2" t="s">
        <v>35</v>
      </c>
      <c r="F2" t="s">
        <v>36</v>
      </c>
      <c r="G2" t="s">
        <v>35</v>
      </c>
      <c r="H2" t="s">
        <v>36</v>
      </c>
    </row>
    <row r="3" spans="1:8" x14ac:dyDescent="0.3">
      <c r="A3" t="s">
        <v>47</v>
      </c>
      <c r="B3" t="s">
        <v>47</v>
      </c>
      <c r="C3" s="7" t="s">
        <v>56</v>
      </c>
      <c r="D3" s="7" t="s">
        <v>56</v>
      </c>
      <c r="E3" t="s">
        <v>47</v>
      </c>
      <c r="F3" t="s">
        <v>47</v>
      </c>
      <c r="G3" s="9" t="s">
        <v>79</v>
      </c>
      <c r="H3" t="s">
        <v>82</v>
      </c>
    </row>
    <row r="4" spans="1:8" x14ac:dyDescent="0.3">
      <c r="A4" t="s">
        <v>42</v>
      </c>
      <c r="B4" t="s">
        <v>42</v>
      </c>
      <c r="C4" t="s">
        <v>65</v>
      </c>
      <c r="D4" s="9" t="s">
        <v>75</v>
      </c>
      <c r="E4" t="s">
        <v>42</v>
      </c>
      <c r="F4" t="s">
        <v>42</v>
      </c>
      <c r="G4" t="s">
        <v>65</v>
      </c>
      <c r="H4" t="s">
        <v>67</v>
      </c>
    </row>
    <row r="5" spans="1:8" x14ac:dyDescent="0.3">
      <c r="A5" s="8" t="s">
        <v>43</v>
      </c>
      <c r="B5" t="s">
        <v>49</v>
      </c>
      <c r="C5" s="9" t="s">
        <v>57</v>
      </c>
      <c r="D5" t="s">
        <v>65</v>
      </c>
      <c r="E5" s="7" t="s">
        <v>41</v>
      </c>
      <c r="F5" s="8" t="s">
        <v>40</v>
      </c>
      <c r="G5" t="s">
        <v>67</v>
      </c>
      <c r="H5" t="s">
        <v>74</v>
      </c>
    </row>
    <row r="6" spans="1:8" x14ac:dyDescent="0.3">
      <c r="A6" s="7" t="s">
        <v>49</v>
      </c>
      <c r="C6" t="s">
        <v>67</v>
      </c>
      <c r="D6" s="9" t="s">
        <v>71</v>
      </c>
      <c r="E6" s="8" t="s">
        <v>43</v>
      </c>
      <c r="F6" s="7" t="s">
        <v>48</v>
      </c>
      <c r="G6" s="9" t="s">
        <v>77</v>
      </c>
      <c r="H6" t="s">
        <v>66</v>
      </c>
    </row>
    <row r="7" spans="1:8" x14ac:dyDescent="0.3">
      <c r="C7" s="9" t="s">
        <v>60</v>
      </c>
      <c r="D7" t="s">
        <v>67</v>
      </c>
      <c r="E7" s="9" t="s">
        <v>50</v>
      </c>
      <c r="G7" t="s">
        <v>74</v>
      </c>
      <c r="H7" s="8" t="s">
        <v>53</v>
      </c>
    </row>
    <row r="8" spans="1:8" x14ac:dyDescent="0.3">
      <c r="C8" s="9" t="s">
        <v>62</v>
      </c>
      <c r="D8" s="8" t="s">
        <v>74</v>
      </c>
      <c r="G8" s="9" t="s">
        <v>80</v>
      </c>
      <c r="H8" t="s">
        <v>61</v>
      </c>
    </row>
    <row r="9" spans="1:8" x14ac:dyDescent="0.3">
      <c r="C9" s="9" t="s">
        <v>58</v>
      </c>
      <c r="D9" t="s">
        <v>66</v>
      </c>
      <c r="G9" t="s">
        <v>66</v>
      </c>
      <c r="H9" t="s">
        <v>54</v>
      </c>
    </row>
    <row r="10" spans="1:8" x14ac:dyDescent="0.3">
      <c r="C10" t="s">
        <v>66</v>
      </c>
      <c r="D10" t="s">
        <v>61</v>
      </c>
      <c r="G10" t="s">
        <v>61</v>
      </c>
      <c r="H10" t="s">
        <v>63</v>
      </c>
    </row>
    <row r="11" spans="1:8" x14ac:dyDescent="0.3">
      <c r="C11" s="7" t="s">
        <v>53</v>
      </c>
      <c r="D11" t="s">
        <v>54</v>
      </c>
      <c r="G11" t="s">
        <v>54</v>
      </c>
      <c r="H11" s="8" t="s">
        <v>64</v>
      </c>
    </row>
    <row r="12" spans="1:8" x14ac:dyDescent="0.3">
      <c r="C12" s="9" t="s">
        <v>55</v>
      </c>
      <c r="D12" t="s">
        <v>63</v>
      </c>
      <c r="G12" s="9" t="s">
        <v>78</v>
      </c>
      <c r="H12" t="s">
        <v>73</v>
      </c>
    </row>
    <row r="13" spans="1:8" x14ac:dyDescent="0.3">
      <c r="C13" t="s">
        <v>61</v>
      </c>
      <c r="D13" t="s">
        <v>68</v>
      </c>
      <c r="G13" t="s">
        <v>68</v>
      </c>
      <c r="H13" t="s">
        <v>81</v>
      </c>
    </row>
    <row r="14" spans="1:8" x14ac:dyDescent="0.3">
      <c r="C14" s="7" t="s">
        <v>54</v>
      </c>
      <c r="D14" t="s">
        <v>64</v>
      </c>
      <c r="G14" t="s">
        <v>73</v>
      </c>
    </row>
    <row r="15" spans="1:8" x14ac:dyDescent="0.3">
      <c r="C15" t="s">
        <v>63</v>
      </c>
      <c r="D15" t="s">
        <v>73</v>
      </c>
      <c r="G15" s="8" t="s">
        <v>59</v>
      </c>
    </row>
    <row r="16" spans="1:8" x14ac:dyDescent="0.3">
      <c r="A16" s="7" t="s">
        <v>44</v>
      </c>
      <c r="B16" s="7"/>
      <c r="C16" t="s">
        <v>68</v>
      </c>
      <c r="D16" s="9" t="s">
        <v>72</v>
      </c>
      <c r="G16" t="s">
        <v>76</v>
      </c>
    </row>
    <row r="17" spans="1:4" x14ac:dyDescent="0.3">
      <c r="A17" s="8" t="s">
        <v>45</v>
      </c>
      <c r="B17" s="8"/>
      <c r="C17" s="7" t="s">
        <v>64</v>
      </c>
      <c r="D17" s="7" t="s">
        <v>59</v>
      </c>
    </row>
    <row r="18" spans="1:4" x14ac:dyDescent="0.3">
      <c r="A18" s="9" t="s">
        <v>46</v>
      </c>
      <c r="B18" s="9"/>
      <c r="C18" t="s">
        <v>69</v>
      </c>
      <c r="D18" t="s">
        <v>70</v>
      </c>
    </row>
    <row r="19" spans="1:4" x14ac:dyDescent="0.3">
      <c r="C19" s="9" t="s">
        <v>52</v>
      </c>
    </row>
    <row r="20" spans="1:4" x14ac:dyDescent="0.3">
      <c r="C20" t="s">
        <v>59</v>
      </c>
    </row>
    <row r="21" spans="1:4" x14ac:dyDescent="0.3">
      <c r="C21" t="s">
        <v>51</v>
      </c>
    </row>
  </sheetData>
  <sortState xmlns:xlrd2="http://schemas.microsoft.com/office/spreadsheetml/2017/richdata2" ref="H3:H13">
    <sortCondition ref="H3:H13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Percentages</vt:lpstr>
      <vt:lpstr>List of 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</dc:creator>
  <cp:lastModifiedBy>CH .</cp:lastModifiedBy>
  <dcterms:created xsi:type="dcterms:W3CDTF">2015-06-05T18:17:20Z</dcterms:created>
  <dcterms:modified xsi:type="dcterms:W3CDTF">2021-06-03T10:45:21Z</dcterms:modified>
</cp:coreProperties>
</file>